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esters" sheetId="3" state="visible" r:id="rId3"/>
    <sheet xmlns:r="http://schemas.openxmlformats.org/officeDocument/2006/relationships" name="Tasks" sheetId="4" state="visible" r:id="rId4"/>
    <sheet xmlns:r="http://schemas.openxmlformats.org/officeDocument/2006/relationships" name="After-app" sheetId="5" state="visible" r:id="rId5"/>
    <sheet xmlns:r="http://schemas.openxmlformats.org/officeDocument/2006/relationships" name="Wrap-up" sheetId="6" state="visible" r:id="rId6"/>
    <sheet xmlns:r="http://schemas.openxmlformats.org/officeDocument/2006/relationships" name="Data check" sheetId="7" state="visible" r:id="rId7"/>
    <sheet xmlns:r="http://schemas.openxmlformats.org/officeDocument/2006/relationships" name="Team criteria" sheetId="8" state="visible" r:id="rId8"/>
    <sheet xmlns:r="http://schemas.openxmlformats.org/officeDocument/2006/relationships" name="Observer sheet" sheetId="9" state="visible" r:id="rId9"/>
    <sheet xmlns:r="http://schemas.openxmlformats.org/officeDocument/2006/relationships" name="Answer key" sheetId="10" state="visible" r:id="rId10"/>
  </sheets>
  <definedNames>
    <definedName name="_xlnm.Print_Titles" localSheetId="3">'Tasks'!$1:$1</definedName>
    <definedName name="_xlnm.Print_Titles" localSheetId="6">'Data check'!$1:$1</definedName>
    <definedName name="_xlnm.Print_Titles" localSheetId="8">'Observer sheet'!$1:$1</definedName>
    <definedName name="_xlnm.Print_Titles" localSheetId="9">'Answer key'!$1:$1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Arial"/>
      <b val="1"/>
      <color rgb="00004A80"/>
      <sz val="14"/>
    </font>
    <font>
      <name val="Arial"/>
    </font>
    <font>
      <name val="Arial"/>
      <b val="1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4A80"/>
      </patternFill>
    </fill>
    <fill>
      <patternFill patternType="solid">
        <fgColor rgb="00F4F6F8"/>
      </patternFill>
    </fill>
    <fill>
      <patternFill patternType="solid">
        <fgColor rgb="00FFF8E1"/>
      </patternFill>
    </fill>
    <fill>
      <patternFill patternType="solid">
        <fgColor rgb="00D9E6F2"/>
      </patternFill>
    </fill>
  </fills>
  <borders count="2">
    <border>
      <left/>
      <right/>
      <top/>
      <bottom/>
      <diagonal/>
    </border>
    <border>
      <left style="thin">
        <color rgb="00C9D1D9"/>
      </left>
      <right style="thin">
        <color rgb="00C9D1D9"/>
      </right>
      <top style="thin">
        <color rgb="00C9D1D9"/>
      </top>
      <bottom style="thin">
        <color rgb="00C9D1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" fillId="0" borderId="0" pivotButton="0" quotePrefix="0" xfId="0"/>
    <xf numFmtId="0" fontId="4" fillId="2" borderId="1" applyAlignment="1" pivotButton="0" quotePrefix="0" xfId="0">
      <alignment vertical="center" wrapText="1"/>
    </xf>
    <xf numFmtId="0" fontId="3" fillId="5" borderId="0" pivotButton="0" quotePrefix="0" xfId="0"/>
    <xf numFmtId="0" fontId="0" fillId="5" borderId="0" pivotButton="0" quotePrefix="0" xfId="0"/>
    <xf numFmtId="0" fontId="2" fillId="0" borderId="1" applyAlignment="1" pivotButton="0" quotePrefix="0" xfId="0">
      <alignment vertical="top" wrapText="1"/>
    </xf>
    <xf numFmtId="9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1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165" fontId="2" fillId="4" borderId="1" applyAlignment="1" pivotButton="0" quotePrefix="0" xfId="0">
      <alignment vertical="top" wrapText="1"/>
    </xf>
    <xf numFmtId="165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E3EED3"/>
        </patternFill>
      </fill>
    </dxf>
    <dxf>
      <fill>
        <patternFill patternType="solid">
          <fgColor rgb="00F8D7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Hydrant inspection pilot scorecard</t>
        </is>
      </c>
    </row>
    <row r="2">
      <c r="A2" s="2" t="inlineStr">
        <is>
          <t>Field Maps vs Survey123. Run the sessions from PILOT-SCRIPT.md.</t>
        </is>
      </c>
    </row>
    <row r="3">
      <c r="A3" s="2" t="inlineStr"/>
    </row>
    <row r="4">
      <c r="A4" s="3" t="inlineStr">
        <is>
          <t>Yellow cells are for typing. Grey cells are filled in for you or calculated.</t>
        </is>
      </c>
    </row>
    <row r="5">
      <c r="A5" s="2" t="inlineStr"/>
    </row>
    <row r="6">
      <c r="A6" s="2" t="inlineStr">
        <is>
          <t>Testers: one row per tester. Fill in company, phone and account before their session.</t>
        </is>
      </c>
    </row>
    <row r="7">
      <c r="A7" s="2" t="inlineStr">
        <is>
          <t>Tasks: the observer logs time, result and ease for every task, in the order the rows are listed.</t>
        </is>
      </c>
    </row>
    <row r="8">
      <c r="A8" s="2" t="inlineStr">
        <is>
          <t>After-app: the four questions after each app (1 strongly disagree, 5 strongly agree).</t>
        </is>
      </c>
    </row>
    <row r="9">
      <c r="A9" s="2" t="inlineStr">
        <is>
          <t>Wrap-up: which app the tester would pick, and why.</t>
        </is>
      </c>
    </row>
    <row r="10">
      <c r="A10" s="2" t="inlineStr">
        <is>
          <t>Data check: paste the output of check_pilot_records.py here (columns already match).</t>
        </is>
      </c>
    </row>
    <row r="11">
      <c r="A11" s="2" t="inlineStr">
        <is>
          <t>Team criteria: the team scores each app 1 to 5. Agree on the weights before scoring.</t>
        </is>
      </c>
    </row>
    <row r="12">
      <c r="A12" s="2" t="inlineStr">
        <is>
          <t>Summary: adds everything up and shows the must-pass checks and the combined score.</t>
        </is>
      </c>
    </row>
    <row r="13">
      <c r="A13" s="2" t="inlineStr">
        <is>
          <t>Observer sheet: print one per tester if you'd rather take notes on paper.</t>
        </is>
      </c>
    </row>
    <row r="14">
      <c r="A14" s="2" t="inlineStr">
        <is>
          <t>Answer key: the right values for every task card.</t>
        </is>
      </c>
    </row>
    <row r="15">
      <c r="A15" s="2" t="inlineStr"/>
    </row>
    <row r="16">
      <c r="A16" s="2" t="inlineStr">
        <is>
          <t>Combined score = crew score and team score weighted equally, each out of 100.</t>
        </is>
      </c>
    </row>
    <row r="17">
      <c r="A17" s="2" t="inlineStr">
        <is>
          <t>Crew score = 40% tasks done alone + 30% average ease + 30% after-app agreement (tasks 1 to 5 only, so both apps are scored on the same tasks).</t>
        </is>
      </c>
    </row>
    <row r="18">
      <c r="A18" s="2" t="inlineStr">
        <is>
          <t>Team score = weighted Team criteria, scaled to 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50" customWidth="1" min="4" max="4"/>
  </cols>
  <sheetData>
    <row r="1">
      <c r="A1" s="4" t="inlineStr">
        <is>
          <t>Pilot summary</t>
        </is>
      </c>
    </row>
    <row r="3" ht="32" customHeight="1">
      <c r="A3" s="5" t="inlineStr">
        <is>
          <t>Measure</t>
        </is>
      </c>
      <c r="B3" s="5" t="inlineStr">
        <is>
          <t>Field Maps</t>
        </is>
      </c>
      <c r="C3" s="5" t="inlineStr">
        <is>
          <t>Survey123</t>
        </is>
      </c>
      <c r="D3" s="5" t="inlineStr">
        <is>
          <t>How it's worked out</t>
        </is>
      </c>
    </row>
    <row r="4">
      <c r="A4" s="6" t="inlineStr">
        <is>
          <t>Crew results (tasks 1 to 5)</t>
        </is>
      </c>
      <c r="B4" s="7" t="n"/>
      <c r="C4" s="7" t="n"/>
      <c r="D4" s="7" t="n"/>
    </row>
    <row r="5">
      <c r="A5" s="8" t="inlineStr">
        <is>
          <t>Tasks logged</t>
        </is>
      </c>
      <c r="B5" s="8">
        <f>COUNTIFS(Tasks!$C$2:$C$89,B$3,Tasks!$E$2:$E$89,"&lt;&gt;T6",Tasks!$I$2:$I$89,"&lt;&gt;")</f>
        <v/>
      </c>
      <c r="C5" s="8">
        <f>COUNTIFS(Tasks!$C$2:$C$89,C$3,Tasks!$E$2:$E$89,"&lt;&gt;T6",Tasks!$I$2:$I$89,"&lt;&gt;")</f>
        <v/>
      </c>
      <c r="D5" s="8" t="inlineStr">
        <is>
          <t>Tasks with a Result filled in</t>
        </is>
      </c>
    </row>
    <row r="6">
      <c r="A6" s="8" t="inlineStr">
        <is>
          <t>Done alone</t>
        </is>
      </c>
      <c r="B6" s="9">
        <f>IFERROR(COUNTIFS(Tasks!$C$2:$C$89,B$3,Tasks!$E$2:$E$89,"&lt;&gt;T6",Tasks!$I$2:$I$89,"Alone")/B5,"")</f>
        <v/>
      </c>
      <c r="C6" s="9">
        <f>IFERROR(COUNTIFS(Tasks!$C$2:$C$89,C$3,Tasks!$E$2:$E$89,"&lt;&gt;T6",Tasks!$I$2:$I$89,"Alone")/C5,"")</f>
        <v/>
      </c>
      <c r="D6" s="8" t="inlineStr">
        <is>
          <t>Share of logged tasks</t>
        </is>
      </c>
    </row>
    <row r="7">
      <c r="A7" s="8" t="inlineStr">
        <is>
          <t>Done with help</t>
        </is>
      </c>
      <c r="B7" s="9">
        <f>IFERROR(COUNTIFS(Tasks!$C$2:$C$89,B$3,Tasks!$E$2:$E$89,"&lt;&gt;T6",Tasks!$I$2:$I$89,"With help")/B5,"")</f>
        <v/>
      </c>
      <c r="C7" s="9">
        <f>IFERROR(COUNTIFS(Tasks!$C$2:$C$89,C$3,Tasks!$E$2:$E$89,"&lt;&gt;T6",Tasks!$I$2:$I$89,"With help")/C5,"")</f>
        <v/>
      </c>
      <c r="D7" s="8" t="inlineStr"/>
    </row>
    <row r="8">
      <c r="A8" s="8" t="inlineStr">
        <is>
          <t>Failed or skipped</t>
        </is>
      </c>
      <c r="B8" s="9">
        <f>IFERROR((COUNTIFS(Tasks!$C$2:$C$89,B$3,Tasks!$E$2:$E$89,"&lt;&gt;T6",Tasks!$I$2:$I$89,"Failed")+COUNTIFS(Tasks!$C$2:$C$89,B$3,Tasks!$E$2:$E$89,"&lt;&gt;T6",Tasks!$I$2:$I$89,"Skipped"))/B5,"")</f>
        <v/>
      </c>
      <c r="C8" s="9">
        <f>IFERROR((COUNTIFS(Tasks!$C$2:$C$89,C$3,Tasks!$E$2:$E$89,"&lt;&gt;T6",Tasks!$I$2:$I$89,"Failed")+COUNTIFS(Tasks!$C$2:$C$89,C$3,Tasks!$E$2:$E$89,"&lt;&gt;T6",Tasks!$I$2:$I$89,"Skipped"))/C5,"")</f>
        <v/>
      </c>
      <c r="D8" s="8" t="inlineStr"/>
    </row>
    <row r="9">
      <c r="A9" s="8" t="inlineStr">
        <is>
          <t>Average minutes per task</t>
        </is>
      </c>
      <c r="B9" s="10">
        <f>IFERROR(AVERAGEIFS(Tasks!$H$2:$H$89,Tasks!$C$2:$C$89,B$3,Tasks!$E$2:$E$89,"&lt;&gt;T6"),"")</f>
        <v/>
      </c>
      <c r="C9" s="10">
        <f>IFERROR(AVERAGEIFS(Tasks!$H$2:$H$89,Tasks!$C$2:$C$89,C$3,Tasks!$E$2:$E$89,"&lt;&gt;T6"),"")</f>
        <v/>
      </c>
      <c r="D9" s="8" t="inlineStr"/>
    </row>
    <row r="10">
      <c r="A10" s="8" t="inlineStr">
        <is>
          <t>Average ease (1 to 7)</t>
        </is>
      </c>
      <c r="B10" s="10">
        <f>IFERROR(AVERAGEIFS(Tasks!$J$2:$J$89,Tasks!$C$2:$C$89,B$3,Tasks!$E$2:$E$89,"&lt;&gt;T6"),"")</f>
        <v/>
      </c>
      <c r="C10" s="10">
        <f>IFERROR(AVERAGEIFS(Tasks!$J$2:$J$89,Tasks!$C$2:$C$89,C$3,Tasks!$E$2:$E$89,"&lt;&gt;T6"),"")</f>
        <v/>
      </c>
      <c r="D10" s="8" t="inlineStr">
        <is>
          <t>Asked after every task</t>
        </is>
      </c>
    </row>
    <row r="11">
      <c r="A11" s="8" t="inlineStr">
        <is>
          <t>Offline task synced</t>
        </is>
      </c>
      <c r="B11" s="9">
        <f>IFERROR((COUNTIFS(Tasks!$C$2:$C$89,B$3,Tasks!$E$2:$E$89,"T5",Tasks!$I$2:$I$89,"Alone")+COUNTIFS(Tasks!$C$2:$C$89,B$3,Tasks!$E$2:$E$89,"T5",Tasks!$I$2:$I$89,"With help"))/COUNTIFS(Tasks!$C$2:$C$89,B$3,Tasks!$E$2:$E$89,"T5",Tasks!$I$2:$I$89,"&lt;&gt;"),"")</f>
        <v/>
      </c>
      <c r="C11" s="9">
        <f>IFERROR((COUNTIFS(Tasks!$C$2:$C$89,C$3,Tasks!$E$2:$E$89,"T5",Tasks!$I$2:$I$89,"Alone")+COUNTIFS(Tasks!$C$2:$C$89,C$3,Tasks!$E$2:$E$89,"T5",Tasks!$I$2:$I$89,"With help"))/COUNTIFS(Tasks!$C$2:$C$89,C$3,Tasks!$E$2:$E$89,"T5",Tasks!$I$2:$I$89,"&lt;&gt;"),"")</f>
        <v/>
      </c>
      <c r="D11" s="8" t="inlineStr">
        <is>
          <t>Task 5 done, alone or with help</t>
        </is>
      </c>
    </row>
    <row r="12">
      <c r="A12" s="8" t="inlineStr">
        <is>
          <t>After-app agreement (1 to 5)</t>
        </is>
      </c>
      <c r="B12" s="10">
        <f>IFERROR(AVERAGEIFS('After-app'!$G$2:$G$17,'After-app'!$B$2:$B$17,B$3),"")</f>
        <v/>
      </c>
      <c r="C12" s="10">
        <f>IFERROR(AVERAGEIFS('After-app'!$G$2:$G$17,'After-app'!$B$2:$B$17,C$3),"")</f>
        <v/>
      </c>
      <c r="D12" s="8" t="inlineStr">
        <is>
          <t>Average of Q1 to Q4</t>
        </is>
      </c>
    </row>
    <row r="13">
      <c r="A13" s="8" t="inlineStr">
        <is>
          <t>Testers who would pick it</t>
        </is>
      </c>
      <c r="B13" s="8">
        <f>COUNTIF('Wrap-up'!$B$2:$B$9,B$3)</f>
        <v/>
      </c>
      <c r="C13" s="8">
        <f>COUNTIF('Wrap-up'!$B$2:$B$9,C$3)</f>
        <v/>
      </c>
      <c r="D13" s="8" t="inlineStr">
        <is>
          <t>From Wrap-up</t>
        </is>
      </c>
    </row>
    <row r="14">
      <c r="A14" s="6" t="inlineStr">
        <is>
          <t>Data quality (tasks 1 to 5)</t>
        </is>
      </c>
      <c r="B14" s="7" t="n"/>
      <c r="C14" s="7" t="n"/>
      <c r="D14" s="7" t="n"/>
    </row>
    <row r="15">
      <c r="A15" s="8" t="inlineStr">
        <is>
          <t>Records checked</t>
        </is>
      </c>
      <c r="B15" s="8">
        <f>COUNTIFS('Data check'!$D$2:$D$109,B$3,'Data check'!$B$2:$B$109,"&lt;&gt;T6",'Data check'!$G$2:$G$109,"&gt;=0")</f>
        <v/>
      </c>
      <c r="C15" s="8">
        <f>COUNTIFS('Data check'!$D$2:$D$109,C$3,'Data check'!$B$2:$B$109,"&lt;&gt;T6",'Data check'!$G$2:$G$109,"&gt;=0")</f>
        <v/>
      </c>
      <c r="D15" s="8" t="inlineStr">
        <is>
          <t>From Data check</t>
        </is>
      </c>
    </row>
    <row r="16">
      <c r="A16" s="8" t="inlineStr">
        <is>
          <t>Tied to the right hydrant</t>
        </is>
      </c>
      <c r="B16" s="9">
        <f>IFERROR(COUNTIFS('Data check'!$D$2:$D$109,B$3,'Data check'!$B$2:$B$109,"&lt;&gt;T6",'Data check'!$F$2:$F$109,"Yes")/B15,"")</f>
        <v/>
      </c>
      <c r="C16" s="9">
        <f>IFERROR(COUNTIFS('Data check'!$D$2:$D$109,C$3,'Data check'!$B$2:$B$109,"&lt;&gt;T6",'Data check'!$F$2:$F$109,"Yes")/C15,"")</f>
        <v/>
      </c>
      <c r="D16" s="8" t="inlineStr"/>
    </row>
    <row r="17">
      <c r="A17" s="8" t="inlineStr">
        <is>
          <t>Records with no mistakes</t>
        </is>
      </c>
      <c r="B17" s="9">
        <f>IFERROR(COUNTIFS('Data check'!$D$2:$D$109,B$3,'Data check'!$B$2:$B$109,"&lt;&gt;T6",'Data check'!$G$2:$G$109,0)/B15,"")</f>
        <v/>
      </c>
      <c r="C17" s="9">
        <f>IFERROR(COUNTIFS('Data check'!$D$2:$D$109,C$3,'Data check'!$B$2:$B$109,"&lt;&gt;T6",'Data check'!$G$2:$G$109,0)/C15,"")</f>
        <v/>
      </c>
      <c r="D17" s="8" t="inlineStr"/>
    </row>
    <row r="18">
      <c r="A18" s="8" t="inlineStr">
        <is>
          <t>Average wrong fields per record</t>
        </is>
      </c>
      <c r="B18" s="10">
        <f>IFERROR(AVERAGEIFS('Data check'!$G$2:$G$109,'Data check'!$D$2:$D$109,B$3,'Data check'!$B$2:$B$109,"&lt;&gt;T6"),"")</f>
        <v/>
      </c>
      <c r="C18" s="10">
        <f>IFERROR(AVERAGEIFS('Data check'!$G$2:$G$109,'Data check'!$D$2:$D$109,C$3,'Data check'!$B$2:$B$109,"&lt;&gt;T6"),"")</f>
        <v/>
      </c>
      <c r="D18" s="8" t="inlineStr"/>
    </row>
    <row r="19">
      <c r="A19" s="6" t="inlineStr">
        <is>
          <t>No-account test (task 6, Survey123 only)</t>
        </is>
      </c>
      <c r="B19" s="7" t="n"/>
      <c r="C19" s="7" t="n"/>
      <c r="D19" s="7" t="n"/>
    </row>
    <row r="20">
      <c r="A20" s="8" t="inlineStr">
        <is>
          <t>Task 6 done alone</t>
        </is>
      </c>
      <c r="B20" s="9" t="inlineStr">
        <is>
          <t>n/a</t>
        </is>
      </c>
      <c r="C20" s="9">
        <f>IFERROR(COUNTIFS(Tasks!$E$2:$E$89,"T6",Tasks!$I$2:$I$89,"Alone")/COUNTIFS(Tasks!$E$2:$E$89,"T6",Tasks!$I$2:$I$89,"&lt;&gt;"),"")</f>
        <v/>
      </c>
      <c r="D20" s="8" t="n"/>
    </row>
    <row r="21">
      <c r="A21" s="8" t="inlineStr">
        <is>
          <t>Task 6 records tied to a hydrant</t>
        </is>
      </c>
      <c r="B21" s="9" t="inlineStr">
        <is>
          <t>n/a</t>
        </is>
      </c>
      <c r="C21" s="9">
        <f>IFERROR(COUNTIFS('Data check'!$B$2:$B$109,"T6",'Data check'!$F$2:$F$109,"Yes")/COUNTIFS('Data check'!$B$2:$B$109,"T6",'Data check'!$G$2:$G$109,"&gt;=0"),"")</f>
        <v/>
      </c>
      <c r="D21" s="8" t="n"/>
    </row>
    <row r="22">
      <c r="A22" s="6" t="inlineStr">
        <is>
          <t>Must pass</t>
        </is>
      </c>
      <c r="B22" s="7" t="n"/>
      <c r="C22" s="7" t="n"/>
      <c r="D22" s="7" t="n"/>
    </row>
    <row r="23">
      <c r="A23" s="8" t="inlineStr">
        <is>
          <t>80% or more done alone</t>
        </is>
      </c>
      <c r="B23" s="8">
        <f>IF(B6="","",IF(B6&gt;=0.8,"PASS","FAIL"))</f>
        <v/>
      </c>
      <c r="C23" s="8">
        <f>IF(C6="","",IF(C6&gt;=0.8,"PASS","FAIL"))</f>
        <v/>
      </c>
      <c r="D23" s="8" t="inlineStr"/>
    </row>
    <row r="24">
      <c r="A24" s="8" t="inlineStr">
        <is>
          <t>95% or more tied to the right hydrant</t>
        </is>
      </c>
      <c r="B24" s="8">
        <f>IF(B16="","",IF(B16&gt;=0.95,"PASS","FAIL"))</f>
        <v/>
      </c>
      <c r="C24" s="8">
        <f>IF(C16="","",IF(C16&gt;=0.95,"PASS","FAIL"))</f>
        <v/>
      </c>
      <c r="D24" s="8" t="inlineStr"/>
    </row>
    <row r="25">
      <c r="A25" s="8" t="inlineStr">
        <is>
          <t>Offline synced for every tester</t>
        </is>
      </c>
      <c r="B25" s="8">
        <f>IF(B11="","",IF(B11=1,"PASS","FAIL"))</f>
        <v/>
      </c>
      <c r="C25" s="8">
        <f>IF(C11="","",IF(C11=1,"PASS","FAIL"))</f>
        <v/>
      </c>
      <c r="D25" s="8" t="inlineStr"/>
    </row>
    <row r="26">
      <c r="A26" s="6" t="inlineStr">
        <is>
          <t>Scores (out of 100)</t>
        </is>
      </c>
      <c r="B26" s="7" t="n"/>
      <c r="C26" s="7" t="n"/>
      <c r="D26" s="7" t="n"/>
    </row>
    <row r="27">
      <c r="A27" s="8" t="inlineStr">
        <is>
          <t>Crew score</t>
        </is>
      </c>
      <c r="B27" s="11">
        <f>IFERROR(100*(0.4*B6+0.3*(B10-1)/6+0.3*(B12-1)/4),"")</f>
        <v/>
      </c>
      <c r="C27" s="11">
        <f>IFERROR(100*(0.4*C6+0.3*(C10-1)/6+0.3*(C12-1)/4),"")</f>
        <v/>
      </c>
      <c r="D27" s="8" t="inlineStr">
        <is>
          <t>40% done alone, 30% ease, 30% after-app</t>
        </is>
      </c>
    </row>
    <row r="28">
      <c r="A28" s="8" t="inlineStr">
        <is>
          <t>Team score</t>
        </is>
      </c>
      <c r="B28" s="11">
        <f>IF('Team criteria'!F$10=0,"",100*'Team criteria'!F$10/(5*'Team criteria'!$C$10))</f>
        <v/>
      </c>
      <c r="C28" s="11">
        <f>IF('Team criteria'!G$10=0,"",100*'Team criteria'!G$10/(5*'Team criteria'!$C$10))</f>
        <v/>
      </c>
      <c r="D28" s="8" t="inlineStr">
        <is>
          <t>Weighted Team criteria</t>
        </is>
      </c>
    </row>
    <row r="29">
      <c r="A29" s="8" t="inlineStr">
        <is>
          <t>Combined score</t>
        </is>
      </c>
      <c r="B29" s="11">
        <f>IFERROR((B27+B28)/2,"")</f>
        <v/>
      </c>
      <c r="C29" s="11">
        <f>IFERROR((C27+C28)/2,"")</f>
        <v/>
      </c>
      <c r="D29" s="8" t="inlineStr">
        <is>
          <t>Crew and team weighted equally</t>
        </is>
      </c>
    </row>
    <row r="30">
      <c r="A30" s="12" t="inlineStr">
        <is>
          <t>Closer than 10%? (then account access decides, see PILOT-SCRIPT.md)</t>
        </is>
      </c>
      <c r="B30" s="13">
        <f>IFERROR(IF(ABS(B29-C29)&lt;0.1*MAX(B29,C29),"Yes","No"),"")</f>
        <v/>
      </c>
      <c r="C30" s="14" t="n"/>
      <c r="D30" s="13" t="inlineStr">
        <is>
          <t>Difference under 10% of the higher score</t>
        </is>
      </c>
    </row>
    <row r="32" ht="30" customHeight="1">
      <c r="A32" s="2" t="inlineStr">
        <is>
          <t>Task 6 is reported on its own: the no-account path only exists in Survey123, and those records are expected to arrive without a hydrant link.</t>
        </is>
      </c>
    </row>
  </sheetData>
  <mergeCells count="2">
    <mergeCell ref="B30:C30"/>
    <mergeCell ref="A32:D32"/>
  </mergeCells>
  <conditionalFormatting sqref="B23:C25">
    <cfRule type="cellIs" priority="1" operator="equal" dxfId="0">
      <formula>"PASS"</formula>
    </cfRule>
    <cfRule type="cellIs" priority="2" operator="equal" dxfId="1">
      <formula>"FAIL"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8" customWidth="1" min="4" max="4"/>
    <col width="14" customWidth="1" min="5" max="5"/>
    <col width="10" customWidth="1" min="6" max="6"/>
    <col width="14" customWidth="1" min="7" max="7"/>
    <col width="50" customWidth="1" min="8" max="8"/>
  </cols>
  <sheetData>
    <row r="1" ht="32" customHeight="1">
      <c r="A1" s="5" t="inlineStr">
        <is>
          <t>Pilot ID</t>
        </is>
      </c>
      <c r="B1" s="5" t="inlineStr">
        <is>
          <t>Engine company</t>
        </is>
      </c>
      <c r="C1" s="5" t="inlineStr">
        <is>
          <t>Phone</t>
        </is>
      </c>
      <c r="D1" s="5" t="inlineStr">
        <is>
          <t>Has portal account</t>
        </is>
      </c>
      <c r="E1" s="5" t="inlineStr">
        <is>
          <t>First app</t>
        </is>
      </c>
      <c r="F1" s="5" t="inlineStr">
        <is>
          <t>First set</t>
        </is>
      </c>
      <c r="G1" s="5" t="inlineStr">
        <is>
          <t>Session date</t>
        </is>
      </c>
      <c r="H1" s="5" t="inlineStr">
        <is>
          <t>Notes</t>
        </is>
      </c>
    </row>
    <row r="2">
      <c r="A2" s="15" t="inlineStr">
        <is>
          <t>P1</t>
        </is>
      </c>
      <c r="B2" s="16" t="n"/>
      <c r="C2" s="16" t="n"/>
      <c r="D2" s="16" t="n"/>
      <c r="E2" s="15" t="inlineStr">
        <is>
          <t>Field Maps</t>
        </is>
      </c>
      <c r="F2" s="15" t="inlineStr">
        <is>
          <t>A</t>
        </is>
      </c>
      <c r="G2" s="17" t="n"/>
      <c r="H2" s="16" t="n"/>
    </row>
    <row r="3">
      <c r="A3" s="15" t="inlineStr">
        <is>
          <t>P2</t>
        </is>
      </c>
      <c r="B3" s="16" t="n"/>
      <c r="C3" s="16" t="n"/>
      <c r="D3" s="16" t="n"/>
      <c r="E3" s="15" t="inlineStr">
        <is>
          <t>Survey123</t>
        </is>
      </c>
      <c r="F3" s="15" t="inlineStr">
        <is>
          <t>A</t>
        </is>
      </c>
      <c r="G3" s="17" t="n"/>
      <c r="H3" s="16" t="n"/>
    </row>
    <row r="4">
      <c r="A4" s="15" t="inlineStr">
        <is>
          <t>P3</t>
        </is>
      </c>
      <c r="B4" s="16" t="n"/>
      <c r="C4" s="16" t="n"/>
      <c r="D4" s="16" t="n"/>
      <c r="E4" s="15" t="inlineStr">
        <is>
          <t>Field Maps</t>
        </is>
      </c>
      <c r="F4" s="15" t="inlineStr">
        <is>
          <t>B</t>
        </is>
      </c>
      <c r="G4" s="17" t="n"/>
      <c r="H4" s="16" t="n"/>
    </row>
    <row r="5">
      <c r="A5" s="15" t="inlineStr">
        <is>
          <t>P4</t>
        </is>
      </c>
      <c r="B5" s="16" t="n"/>
      <c r="C5" s="16" t="n"/>
      <c r="D5" s="16" t="n"/>
      <c r="E5" s="15" t="inlineStr">
        <is>
          <t>Survey123</t>
        </is>
      </c>
      <c r="F5" s="15" t="inlineStr">
        <is>
          <t>B</t>
        </is>
      </c>
      <c r="G5" s="17" t="n"/>
      <c r="H5" s="16" t="n"/>
    </row>
    <row r="6">
      <c r="A6" s="15" t="inlineStr">
        <is>
          <t>P5</t>
        </is>
      </c>
      <c r="B6" s="16" t="n"/>
      <c r="C6" s="16" t="n"/>
      <c r="D6" s="16" t="n"/>
      <c r="E6" s="15" t="inlineStr">
        <is>
          <t>Field Maps</t>
        </is>
      </c>
      <c r="F6" s="15" t="inlineStr">
        <is>
          <t>A</t>
        </is>
      </c>
      <c r="G6" s="17" t="n"/>
      <c r="H6" s="16" t="n"/>
    </row>
    <row r="7">
      <c r="A7" s="15" t="inlineStr">
        <is>
          <t>P6</t>
        </is>
      </c>
      <c r="B7" s="16" t="n"/>
      <c r="C7" s="16" t="n"/>
      <c r="D7" s="16" t="n"/>
      <c r="E7" s="15" t="inlineStr">
        <is>
          <t>Survey123</t>
        </is>
      </c>
      <c r="F7" s="15" t="inlineStr">
        <is>
          <t>A</t>
        </is>
      </c>
      <c r="G7" s="17" t="n"/>
      <c r="H7" s="16" t="n"/>
    </row>
    <row r="8">
      <c r="A8" s="15" t="inlineStr">
        <is>
          <t>P7</t>
        </is>
      </c>
      <c r="B8" s="16" t="n"/>
      <c r="C8" s="16" t="n"/>
      <c r="D8" s="16" t="n"/>
      <c r="E8" s="15" t="inlineStr">
        <is>
          <t>Field Maps</t>
        </is>
      </c>
      <c r="F8" s="15" t="inlineStr">
        <is>
          <t>B</t>
        </is>
      </c>
      <c r="G8" s="17" t="n"/>
      <c r="H8" s="16" t="n"/>
    </row>
    <row r="9">
      <c r="A9" s="15" t="inlineStr">
        <is>
          <t>P8</t>
        </is>
      </c>
      <c r="B9" s="16" t="n"/>
      <c r="C9" s="16" t="n"/>
      <c r="D9" s="16" t="n"/>
      <c r="E9" s="15" t="inlineStr">
        <is>
          <t>Survey123</t>
        </is>
      </c>
      <c r="F9" s="15" t="inlineStr">
        <is>
          <t>B</t>
        </is>
      </c>
      <c r="G9" s="17" t="n"/>
      <c r="H9" s="16" t="n"/>
    </row>
  </sheetData>
  <dataValidations count="3">
    <dataValidation sqref="B2:B9" showDropDown="0" showInputMessage="0" showErrorMessage="0" allowBlank="1" type="list">
      <formula1>"E01,E02,E03,E04,E05,E06,E07,E08,E09,E10,E11,E12,E13,E14,E15,E16,E17,E18,E19,E20,E21,E22,E23,E24,E25,E26,E27,E28,E29,E30,E31,E32,E33,E34,E35,E36,E37,E38,E39,E40,E41,E42,E43,E44,E45,E46,E47,E48,E49,E50,E51"</formula1>
    </dataValidation>
    <dataValidation sqref="C2:C9" showDropDown="0" showInputMessage="0" showErrorMessage="0" allowBlank="1" type="list">
      <formula1>"iPhone,Android"</formula1>
    </dataValidation>
    <dataValidation sqref="D2:D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6" customWidth="1" min="4" max="4"/>
    <col width="6" customWidth="1" min="5" max="5"/>
    <col width="26" customWidth="1" min="6" max="6"/>
    <col width="8" customWidth="1" min="7" max="7"/>
    <col width="9" customWidth="1" min="8" max="8"/>
    <col width="12" customWidth="1" min="9" max="9"/>
    <col width="9" customWidth="1" min="10" max="10"/>
    <col width="10" customWidth="1" min="11" max="11"/>
    <col width="60" customWidth="1" min="12" max="12"/>
  </cols>
  <sheetData>
    <row r="1" ht="32" customHeight="1">
      <c r="A1" s="5" t="inlineStr">
        <is>
          <t>Pilot ID</t>
        </is>
      </c>
      <c r="B1" s="5" t="inlineStr">
        <is>
          <t>Block</t>
        </is>
      </c>
      <c r="C1" s="5" t="inlineStr">
        <is>
          <t>App</t>
        </is>
      </c>
      <c r="D1" s="5" t="inlineStr">
        <is>
          <t>Set</t>
        </is>
      </c>
      <c r="E1" s="5" t="inlineStr">
        <is>
          <t>Task</t>
        </is>
      </c>
      <c r="F1" s="5" t="inlineStr">
        <is>
          <t>Task name</t>
        </is>
      </c>
      <c r="G1" s="5" t="inlineStr">
        <is>
          <t>GIS ID</t>
        </is>
      </c>
      <c r="H1" s="5" t="inlineStr">
        <is>
          <t>Minutes</t>
        </is>
      </c>
      <c r="I1" s="5" t="inlineStr">
        <is>
          <t>Result</t>
        </is>
      </c>
      <c r="J1" s="5" t="inlineStr">
        <is>
          <t>Ease (1-7)</t>
        </is>
      </c>
      <c r="K1" s="5" t="inlineStr">
        <is>
          <t>Photo taken</t>
        </is>
      </c>
      <c r="L1" s="5" t="inlineStr">
        <is>
          <t>Notes</t>
        </is>
      </c>
    </row>
    <row r="2">
      <c r="A2" s="15" t="inlineStr">
        <is>
          <t>P1</t>
        </is>
      </c>
      <c r="B2" s="15" t="n">
        <v>1</v>
      </c>
      <c r="C2" s="15" t="inlineStr">
        <is>
          <t>Field Maps</t>
        </is>
      </c>
      <c r="D2" s="15" t="inlineStr">
        <is>
          <t>A</t>
        </is>
      </c>
      <c r="E2" s="15" t="inlineStr">
        <is>
          <t>T1</t>
        </is>
      </c>
      <c r="F2" s="15" t="inlineStr">
        <is>
          <t>Routine check</t>
        </is>
      </c>
      <c r="G2" s="15" t="inlineStr">
        <is>
          <t>0291</t>
        </is>
      </c>
      <c r="H2" s="18" t="n"/>
      <c r="I2" s="16" t="n"/>
      <c r="J2" s="16" t="n"/>
      <c r="K2" s="16" t="n"/>
      <c r="L2" s="16" t="n"/>
    </row>
    <row r="3">
      <c r="A3" s="15" t="inlineStr">
        <is>
          <t>P1</t>
        </is>
      </c>
      <c r="B3" s="15" t="n">
        <v>1</v>
      </c>
      <c r="C3" s="15" t="inlineStr">
        <is>
          <t>Field Maps</t>
        </is>
      </c>
      <c r="D3" s="15" t="inlineStr">
        <is>
          <t>A</t>
        </is>
      </c>
      <c r="E3" s="15" t="inlineStr">
        <is>
          <t>T2</t>
        </is>
      </c>
      <c r="F3" s="15" t="inlineStr">
        <is>
          <t>Low pressure, missing cap</t>
        </is>
      </c>
      <c r="G3" s="15" t="inlineStr">
        <is>
          <t>0490</t>
        </is>
      </c>
      <c r="H3" s="18" t="n"/>
      <c r="I3" s="16" t="n"/>
      <c r="J3" s="16" t="n"/>
      <c r="K3" s="16" t="n"/>
      <c r="L3" s="16" t="n"/>
    </row>
    <row r="4">
      <c r="A4" s="15" t="inlineStr">
        <is>
          <t>P1</t>
        </is>
      </c>
      <c r="B4" s="15" t="n">
        <v>1</v>
      </c>
      <c r="C4" s="15" t="inlineStr">
        <is>
          <t>Field Maps</t>
        </is>
      </c>
      <c r="D4" s="15" t="inlineStr">
        <is>
          <t>A</t>
        </is>
      </c>
      <c r="E4" s="15" t="inlineStr">
        <is>
          <t>T3</t>
        </is>
      </c>
      <c r="F4" s="15" t="inlineStr">
        <is>
          <t>Several problems</t>
        </is>
      </c>
      <c r="G4" s="15" t="inlineStr">
        <is>
          <t>3641</t>
        </is>
      </c>
      <c r="H4" s="18" t="n"/>
      <c r="I4" s="16" t="n"/>
      <c r="J4" s="16" t="n"/>
      <c r="K4" s="16" t="n"/>
      <c r="L4" s="16" t="n"/>
    </row>
    <row r="5">
      <c r="A5" s="15" t="inlineStr">
        <is>
          <t>P1</t>
        </is>
      </c>
      <c r="B5" s="15" t="n">
        <v>1</v>
      </c>
      <c r="C5" s="15" t="inlineStr">
        <is>
          <t>Field Maps</t>
        </is>
      </c>
      <c r="D5" s="15" t="inlineStr">
        <is>
          <t>A</t>
        </is>
      </c>
      <c r="E5" s="15" t="inlineStr">
        <is>
          <t>T4</t>
        </is>
      </c>
      <c r="F5" s="15" t="inlineStr">
        <is>
          <t>Hydrant not there</t>
        </is>
      </c>
      <c r="G5" s="15" t="inlineStr">
        <is>
          <t>0718</t>
        </is>
      </c>
      <c r="H5" s="18" t="n"/>
      <c r="I5" s="16" t="n"/>
      <c r="J5" s="16" t="n"/>
      <c r="K5" s="16" t="n"/>
      <c r="L5" s="16" t="n"/>
    </row>
    <row r="6">
      <c r="A6" s="15" t="inlineStr">
        <is>
          <t>P1</t>
        </is>
      </c>
      <c r="B6" s="15" t="n">
        <v>1</v>
      </c>
      <c r="C6" s="15" t="inlineStr">
        <is>
          <t>Field Maps</t>
        </is>
      </c>
      <c r="D6" s="15" t="inlineStr">
        <is>
          <t>A</t>
        </is>
      </c>
      <c r="E6" s="15" t="inlineStr">
        <is>
          <t>T5</t>
        </is>
      </c>
      <c r="F6" s="15" t="inlineStr">
        <is>
          <t>No signal (offline)</t>
        </is>
      </c>
      <c r="G6" s="15" t="inlineStr">
        <is>
          <t>3466</t>
        </is>
      </c>
      <c r="H6" s="18" t="n"/>
      <c r="I6" s="16" t="n"/>
      <c r="J6" s="16" t="n"/>
      <c r="K6" s="16" t="n"/>
      <c r="L6" s="16" t="n"/>
    </row>
    <row r="7">
      <c r="A7" s="15" t="inlineStr">
        <is>
          <t>P1</t>
        </is>
      </c>
      <c r="B7" s="15" t="n">
        <v>2</v>
      </c>
      <c r="C7" s="15" t="inlineStr">
        <is>
          <t>Survey123</t>
        </is>
      </c>
      <c r="D7" s="15" t="inlineStr">
        <is>
          <t>B</t>
        </is>
      </c>
      <c r="E7" s="15" t="inlineStr">
        <is>
          <t>T1</t>
        </is>
      </c>
      <c r="F7" s="15" t="inlineStr">
        <is>
          <t>Routine check</t>
        </is>
      </c>
      <c r="G7" s="15" t="inlineStr">
        <is>
          <t>0353</t>
        </is>
      </c>
      <c r="H7" s="18" t="n"/>
      <c r="I7" s="16" t="n"/>
      <c r="J7" s="16" t="n"/>
      <c r="K7" s="16" t="n"/>
      <c r="L7" s="16" t="n"/>
    </row>
    <row r="8">
      <c r="A8" s="15" t="inlineStr">
        <is>
          <t>P1</t>
        </is>
      </c>
      <c r="B8" s="15" t="n">
        <v>2</v>
      </c>
      <c r="C8" s="15" t="inlineStr">
        <is>
          <t>Survey123</t>
        </is>
      </c>
      <c r="D8" s="15" t="inlineStr">
        <is>
          <t>B</t>
        </is>
      </c>
      <c r="E8" s="15" t="inlineStr">
        <is>
          <t>T2</t>
        </is>
      </c>
      <c r="F8" s="15" t="inlineStr">
        <is>
          <t>Low pressure, missing cap</t>
        </is>
      </c>
      <c r="G8" s="15" t="inlineStr">
        <is>
          <t>0564</t>
        </is>
      </c>
      <c r="H8" s="18" t="n"/>
      <c r="I8" s="16" t="n"/>
      <c r="J8" s="16" t="n"/>
      <c r="K8" s="16" t="n"/>
      <c r="L8" s="16" t="n"/>
    </row>
    <row r="9">
      <c r="A9" s="15" t="inlineStr">
        <is>
          <t>P1</t>
        </is>
      </c>
      <c r="B9" s="15" t="n">
        <v>2</v>
      </c>
      <c r="C9" s="15" t="inlineStr">
        <is>
          <t>Survey123</t>
        </is>
      </c>
      <c r="D9" s="15" t="inlineStr">
        <is>
          <t>B</t>
        </is>
      </c>
      <c r="E9" s="15" t="inlineStr">
        <is>
          <t>T3</t>
        </is>
      </c>
      <c r="F9" s="15" t="inlineStr">
        <is>
          <t>Several problems</t>
        </is>
      </c>
      <c r="G9" s="15" t="inlineStr">
        <is>
          <t>3402</t>
        </is>
      </c>
      <c r="H9" s="18" t="n"/>
      <c r="I9" s="16" t="n"/>
      <c r="J9" s="16" t="n"/>
      <c r="K9" s="16" t="n"/>
      <c r="L9" s="16" t="n"/>
    </row>
    <row r="10">
      <c r="A10" s="15" t="inlineStr">
        <is>
          <t>P1</t>
        </is>
      </c>
      <c r="B10" s="15" t="n">
        <v>2</v>
      </c>
      <c r="C10" s="15" t="inlineStr">
        <is>
          <t>Survey123</t>
        </is>
      </c>
      <c r="D10" s="15" t="inlineStr">
        <is>
          <t>B</t>
        </is>
      </c>
      <c r="E10" s="15" t="inlineStr">
        <is>
          <t>T4</t>
        </is>
      </c>
      <c r="F10" s="15" t="inlineStr">
        <is>
          <t>Hydrant not there</t>
        </is>
      </c>
      <c r="G10" s="15" t="inlineStr">
        <is>
          <t>0570</t>
        </is>
      </c>
      <c r="H10" s="18" t="n"/>
      <c r="I10" s="16" t="n"/>
      <c r="J10" s="16" t="n"/>
      <c r="K10" s="16" t="n"/>
      <c r="L10" s="16" t="n"/>
    </row>
    <row r="11">
      <c r="A11" s="15" t="inlineStr">
        <is>
          <t>P1</t>
        </is>
      </c>
      <c r="B11" s="15" t="n">
        <v>2</v>
      </c>
      <c r="C11" s="15" t="inlineStr">
        <is>
          <t>Survey123</t>
        </is>
      </c>
      <c r="D11" s="15" t="inlineStr">
        <is>
          <t>B</t>
        </is>
      </c>
      <c r="E11" s="15" t="inlineStr">
        <is>
          <t>T5</t>
        </is>
      </c>
      <c r="F11" s="15" t="inlineStr">
        <is>
          <t>No signal (offline)</t>
        </is>
      </c>
      <c r="G11" s="15" t="inlineStr">
        <is>
          <t>3467</t>
        </is>
      </c>
      <c r="H11" s="18" t="n"/>
      <c r="I11" s="16" t="n"/>
      <c r="J11" s="16" t="n"/>
      <c r="K11" s="16" t="n"/>
      <c r="L11" s="16" t="n"/>
    </row>
    <row r="12">
      <c r="A12" s="15" t="inlineStr">
        <is>
          <t>P1</t>
        </is>
      </c>
      <c r="B12" s="15" t="n">
        <v>2</v>
      </c>
      <c r="C12" s="15" t="inlineStr">
        <is>
          <t>Survey123</t>
        </is>
      </c>
      <c r="D12" s="15" t="inlineStr">
        <is>
          <t>B</t>
        </is>
      </c>
      <c r="E12" s="15" t="inlineStr">
        <is>
          <t>T6</t>
        </is>
      </c>
      <c r="F12" s="15" t="inlineStr">
        <is>
          <t>No account (Survey123 only)</t>
        </is>
      </c>
      <c r="G12" s="15" t="inlineStr">
        <is>
          <t>3808</t>
        </is>
      </c>
      <c r="H12" s="18" t="n"/>
      <c r="I12" s="16" t="n"/>
      <c r="J12" s="16" t="n"/>
      <c r="K12" s="16" t="n"/>
      <c r="L12" s="16" t="n"/>
    </row>
    <row r="13">
      <c r="A13" s="15" t="inlineStr">
        <is>
          <t>P2</t>
        </is>
      </c>
      <c r="B13" s="15" t="n">
        <v>1</v>
      </c>
      <c r="C13" s="15" t="inlineStr">
        <is>
          <t>Survey123</t>
        </is>
      </c>
      <c r="D13" s="15" t="inlineStr">
        <is>
          <t>A</t>
        </is>
      </c>
      <c r="E13" s="15" t="inlineStr">
        <is>
          <t>T1</t>
        </is>
      </c>
      <c r="F13" s="15" t="inlineStr">
        <is>
          <t>Routine check</t>
        </is>
      </c>
      <c r="G13" s="15" t="inlineStr">
        <is>
          <t>0291</t>
        </is>
      </c>
      <c r="H13" s="18" t="n"/>
      <c r="I13" s="16" t="n"/>
      <c r="J13" s="16" t="n"/>
      <c r="K13" s="16" t="n"/>
      <c r="L13" s="16" t="n"/>
    </row>
    <row r="14">
      <c r="A14" s="15" t="inlineStr">
        <is>
          <t>P2</t>
        </is>
      </c>
      <c r="B14" s="15" t="n">
        <v>1</v>
      </c>
      <c r="C14" s="15" t="inlineStr">
        <is>
          <t>Survey123</t>
        </is>
      </c>
      <c r="D14" s="15" t="inlineStr">
        <is>
          <t>A</t>
        </is>
      </c>
      <c r="E14" s="15" t="inlineStr">
        <is>
          <t>T2</t>
        </is>
      </c>
      <c r="F14" s="15" t="inlineStr">
        <is>
          <t>Low pressure, missing cap</t>
        </is>
      </c>
      <c r="G14" s="15" t="inlineStr">
        <is>
          <t>0490</t>
        </is>
      </c>
      <c r="H14" s="18" t="n"/>
      <c r="I14" s="16" t="n"/>
      <c r="J14" s="16" t="n"/>
      <c r="K14" s="16" t="n"/>
      <c r="L14" s="16" t="n"/>
    </row>
    <row r="15">
      <c r="A15" s="15" t="inlineStr">
        <is>
          <t>P2</t>
        </is>
      </c>
      <c r="B15" s="15" t="n">
        <v>1</v>
      </c>
      <c r="C15" s="15" t="inlineStr">
        <is>
          <t>Survey123</t>
        </is>
      </c>
      <c r="D15" s="15" t="inlineStr">
        <is>
          <t>A</t>
        </is>
      </c>
      <c r="E15" s="15" t="inlineStr">
        <is>
          <t>T3</t>
        </is>
      </c>
      <c r="F15" s="15" t="inlineStr">
        <is>
          <t>Several problems</t>
        </is>
      </c>
      <c r="G15" s="15" t="inlineStr">
        <is>
          <t>3641</t>
        </is>
      </c>
      <c r="H15" s="18" t="n"/>
      <c r="I15" s="16" t="n"/>
      <c r="J15" s="16" t="n"/>
      <c r="K15" s="16" t="n"/>
      <c r="L15" s="16" t="n"/>
    </row>
    <row r="16">
      <c r="A16" s="15" t="inlineStr">
        <is>
          <t>P2</t>
        </is>
      </c>
      <c r="B16" s="15" t="n">
        <v>1</v>
      </c>
      <c r="C16" s="15" t="inlineStr">
        <is>
          <t>Survey123</t>
        </is>
      </c>
      <c r="D16" s="15" t="inlineStr">
        <is>
          <t>A</t>
        </is>
      </c>
      <c r="E16" s="15" t="inlineStr">
        <is>
          <t>T4</t>
        </is>
      </c>
      <c r="F16" s="15" t="inlineStr">
        <is>
          <t>Hydrant not there</t>
        </is>
      </c>
      <c r="G16" s="15" t="inlineStr">
        <is>
          <t>0718</t>
        </is>
      </c>
      <c r="H16" s="18" t="n"/>
      <c r="I16" s="16" t="n"/>
      <c r="J16" s="16" t="n"/>
      <c r="K16" s="16" t="n"/>
      <c r="L16" s="16" t="n"/>
    </row>
    <row r="17">
      <c r="A17" s="15" t="inlineStr">
        <is>
          <t>P2</t>
        </is>
      </c>
      <c r="B17" s="15" t="n">
        <v>1</v>
      </c>
      <c r="C17" s="15" t="inlineStr">
        <is>
          <t>Survey123</t>
        </is>
      </c>
      <c r="D17" s="15" t="inlineStr">
        <is>
          <t>A</t>
        </is>
      </c>
      <c r="E17" s="15" t="inlineStr">
        <is>
          <t>T5</t>
        </is>
      </c>
      <c r="F17" s="15" t="inlineStr">
        <is>
          <t>No signal (offline)</t>
        </is>
      </c>
      <c r="G17" s="15" t="inlineStr">
        <is>
          <t>3466</t>
        </is>
      </c>
      <c r="H17" s="18" t="n"/>
      <c r="I17" s="16" t="n"/>
      <c r="J17" s="16" t="n"/>
      <c r="K17" s="16" t="n"/>
      <c r="L17" s="16" t="n"/>
    </row>
    <row r="18">
      <c r="A18" s="15" t="inlineStr">
        <is>
          <t>P2</t>
        </is>
      </c>
      <c r="B18" s="15" t="n">
        <v>1</v>
      </c>
      <c r="C18" s="15" t="inlineStr">
        <is>
          <t>Survey123</t>
        </is>
      </c>
      <c r="D18" s="15" t="inlineStr">
        <is>
          <t>A</t>
        </is>
      </c>
      <c r="E18" s="15" t="inlineStr">
        <is>
          <t>T6</t>
        </is>
      </c>
      <c r="F18" s="15" t="inlineStr">
        <is>
          <t>No account (Survey123 only)</t>
        </is>
      </c>
      <c r="G18" s="15" t="inlineStr">
        <is>
          <t>3803</t>
        </is>
      </c>
      <c r="H18" s="18" t="n"/>
      <c r="I18" s="16" t="n"/>
      <c r="J18" s="16" t="n"/>
      <c r="K18" s="16" t="n"/>
      <c r="L18" s="16" t="n"/>
    </row>
    <row r="19">
      <c r="A19" s="15" t="inlineStr">
        <is>
          <t>P2</t>
        </is>
      </c>
      <c r="B19" s="15" t="n">
        <v>2</v>
      </c>
      <c r="C19" s="15" t="inlineStr">
        <is>
          <t>Field Maps</t>
        </is>
      </c>
      <c r="D19" s="15" t="inlineStr">
        <is>
          <t>B</t>
        </is>
      </c>
      <c r="E19" s="15" t="inlineStr">
        <is>
          <t>T1</t>
        </is>
      </c>
      <c r="F19" s="15" t="inlineStr">
        <is>
          <t>Routine check</t>
        </is>
      </c>
      <c r="G19" s="15" t="inlineStr">
        <is>
          <t>0353</t>
        </is>
      </c>
      <c r="H19" s="18" t="n"/>
      <c r="I19" s="16" t="n"/>
      <c r="J19" s="16" t="n"/>
      <c r="K19" s="16" t="n"/>
      <c r="L19" s="16" t="n"/>
    </row>
    <row r="20">
      <c r="A20" s="15" t="inlineStr">
        <is>
          <t>P2</t>
        </is>
      </c>
      <c r="B20" s="15" t="n">
        <v>2</v>
      </c>
      <c r="C20" s="15" t="inlineStr">
        <is>
          <t>Field Maps</t>
        </is>
      </c>
      <c r="D20" s="15" t="inlineStr">
        <is>
          <t>B</t>
        </is>
      </c>
      <c r="E20" s="15" t="inlineStr">
        <is>
          <t>T2</t>
        </is>
      </c>
      <c r="F20" s="15" t="inlineStr">
        <is>
          <t>Low pressure, missing cap</t>
        </is>
      </c>
      <c r="G20" s="15" t="inlineStr">
        <is>
          <t>0564</t>
        </is>
      </c>
      <c r="H20" s="18" t="n"/>
      <c r="I20" s="16" t="n"/>
      <c r="J20" s="16" t="n"/>
      <c r="K20" s="16" t="n"/>
      <c r="L20" s="16" t="n"/>
    </row>
    <row r="21">
      <c r="A21" s="15" t="inlineStr">
        <is>
          <t>P2</t>
        </is>
      </c>
      <c r="B21" s="15" t="n">
        <v>2</v>
      </c>
      <c r="C21" s="15" t="inlineStr">
        <is>
          <t>Field Maps</t>
        </is>
      </c>
      <c r="D21" s="15" t="inlineStr">
        <is>
          <t>B</t>
        </is>
      </c>
      <c r="E21" s="15" t="inlineStr">
        <is>
          <t>T3</t>
        </is>
      </c>
      <c r="F21" s="15" t="inlineStr">
        <is>
          <t>Several problems</t>
        </is>
      </c>
      <c r="G21" s="15" t="inlineStr">
        <is>
          <t>3402</t>
        </is>
      </c>
      <c r="H21" s="18" t="n"/>
      <c r="I21" s="16" t="n"/>
      <c r="J21" s="16" t="n"/>
      <c r="K21" s="16" t="n"/>
      <c r="L21" s="16" t="n"/>
    </row>
    <row r="22">
      <c r="A22" s="15" t="inlineStr">
        <is>
          <t>P2</t>
        </is>
      </c>
      <c r="B22" s="15" t="n">
        <v>2</v>
      </c>
      <c r="C22" s="15" t="inlineStr">
        <is>
          <t>Field Maps</t>
        </is>
      </c>
      <c r="D22" s="15" t="inlineStr">
        <is>
          <t>B</t>
        </is>
      </c>
      <c r="E22" s="15" t="inlineStr">
        <is>
          <t>T4</t>
        </is>
      </c>
      <c r="F22" s="15" t="inlineStr">
        <is>
          <t>Hydrant not there</t>
        </is>
      </c>
      <c r="G22" s="15" t="inlineStr">
        <is>
          <t>0570</t>
        </is>
      </c>
      <c r="H22" s="18" t="n"/>
      <c r="I22" s="16" t="n"/>
      <c r="J22" s="16" t="n"/>
      <c r="K22" s="16" t="n"/>
      <c r="L22" s="16" t="n"/>
    </row>
    <row r="23">
      <c r="A23" s="15" t="inlineStr">
        <is>
          <t>P2</t>
        </is>
      </c>
      <c r="B23" s="15" t="n">
        <v>2</v>
      </c>
      <c r="C23" s="15" t="inlineStr">
        <is>
          <t>Field Maps</t>
        </is>
      </c>
      <c r="D23" s="15" t="inlineStr">
        <is>
          <t>B</t>
        </is>
      </c>
      <c r="E23" s="15" t="inlineStr">
        <is>
          <t>T5</t>
        </is>
      </c>
      <c r="F23" s="15" t="inlineStr">
        <is>
          <t>No signal (offline)</t>
        </is>
      </c>
      <c r="G23" s="15" t="inlineStr">
        <is>
          <t>3467</t>
        </is>
      </c>
      <c r="H23" s="18" t="n"/>
      <c r="I23" s="16" t="n"/>
      <c r="J23" s="16" t="n"/>
      <c r="K23" s="16" t="n"/>
      <c r="L23" s="16" t="n"/>
    </row>
    <row r="24">
      <c r="A24" s="15" t="inlineStr">
        <is>
          <t>P3</t>
        </is>
      </c>
      <c r="B24" s="15" t="n">
        <v>1</v>
      </c>
      <c r="C24" s="15" t="inlineStr">
        <is>
          <t>Field Maps</t>
        </is>
      </c>
      <c r="D24" s="15" t="inlineStr">
        <is>
          <t>B</t>
        </is>
      </c>
      <c r="E24" s="15" t="inlineStr">
        <is>
          <t>T1</t>
        </is>
      </c>
      <c r="F24" s="15" t="inlineStr">
        <is>
          <t>Routine check</t>
        </is>
      </c>
      <c r="G24" s="15" t="inlineStr">
        <is>
          <t>0353</t>
        </is>
      </c>
      <c r="H24" s="18" t="n"/>
      <c r="I24" s="16" t="n"/>
      <c r="J24" s="16" t="n"/>
      <c r="K24" s="16" t="n"/>
      <c r="L24" s="16" t="n"/>
    </row>
    <row r="25">
      <c r="A25" s="15" t="inlineStr">
        <is>
          <t>P3</t>
        </is>
      </c>
      <c r="B25" s="15" t="n">
        <v>1</v>
      </c>
      <c r="C25" s="15" t="inlineStr">
        <is>
          <t>Field Maps</t>
        </is>
      </c>
      <c r="D25" s="15" t="inlineStr">
        <is>
          <t>B</t>
        </is>
      </c>
      <c r="E25" s="15" t="inlineStr">
        <is>
          <t>T2</t>
        </is>
      </c>
      <c r="F25" s="15" t="inlineStr">
        <is>
          <t>Low pressure, missing cap</t>
        </is>
      </c>
      <c r="G25" s="15" t="inlineStr">
        <is>
          <t>0564</t>
        </is>
      </c>
      <c r="H25" s="18" t="n"/>
      <c r="I25" s="16" t="n"/>
      <c r="J25" s="16" t="n"/>
      <c r="K25" s="16" t="n"/>
      <c r="L25" s="16" t="n"/>
    </row>
    <row r="26">
      <c r="A26" s="15" t="inlineStr">
        <is>
          <t>P3</t>
        </is>
      </c>
      <c r="B26" s="15" t="n">
        <v>1</v>
      </c>
      <c r="C26" s="15" t="inlineStr">
        <is>
          <t>Field Maps</t>
        </is>
      </c>
      <c r="D26" s="15" t="inlineStr">
        <is>
          <t>B</t>
        </is>
      </c>
      <c r="E26" s="15" t="inlineStr">
        <is>
          <t>T3</t>
        </is>
      </c>
      <c r="F26" s="15" t="inlineStr">
        <is>
          <t>Several problems</t>
        </is>
      </c>
      <c r="G26" s="15" t="inlineStr">
        <is>
          <t>3402</t>
        </is>
      </c>
      <c r="H26" s="18" t="n"/>
      <c r="I26" s="16" t="n"/>
      <c r="J26" s="16" t="n"/>
      <c r="K26" s="16" t="n"/>
      <c r="L26" s="16" t="n"/>
    </row>
    <row r="27">
      <c r="A27" s="15" t="inlineStr">
        <is>
          <t>P3</t>
        </is>
      </c>
      <c r="B27" s="15" t="n">
        <v>1</v>
      </c>
      <c r="C27" s="15" t="inlineStr">
        <is>
          <t>Field Maps</t>
        </is>
      </c>
      <c r="D27" s="15" t="inlineStr">
        <is>
          <t>B</t>
        </is>
      </c>
      <c r="E27" s="15" t="inlineStr">
        <is>
          <t>T4</t>
        </is>
      </c>
      <c r="F27" s="15" t="inlineStr">
        <is>
          <t>Hydrant not there</t>
        </is>
      </c>
      <c r="G27" s="15" t="inlineStr">
        <is>
          <t>0570</t>
        </is>
      </c>
      <c r="H27" s="18" t="n"/>
      <c r="I27" s="16" t="n"/>
      <c r="J27" s="16" t="n"/>
      <c r="K27" s="16" t="n"/>
      <c r="L27" s="16" t="n"/>
    </row>
    <row r="28">
      <c r="A28" s="15" t="inlineStr">
        <is>
          <t>P3</t>
        </is>
      </c>
      <c r="B28" s="15" t="n">
        <v>1</v>
      </c>
      <c r="C28" s="15" t="inlineStr">
        <is>
          <t>Field Maps</t>
        </is>
      </c>
      <c r="D28" s="15" t="inlineStr">
        <is>
          <t>B</t>
        </is>
      </c>
      <c r="E28" s="15" t="inlineStr">
        <is>
          <t>T5</t>
        </is>
      </c>
      <c r="F28" s="15" t="inlineStr">
        <is>
          <t>No signal (offline)</t>
        </is>
      </c>
      <c r="G28" s="15" t="inlineStr">
        <is>
          <t>3467</t>
        </is>
      </c>
      <c r="H28" s="18" t="n"/>
      <c r="I28" s="16" t="n"/>
      <c r="J28" s="16" t="n"/>
      <c r="K28" s="16" t="n"/>
      <c r="L28" s="16" t="n"/>
    </row>
    <row r="29">
      <c r="A29" s="15" t="inlineStr">
        <is>
          <t>P3</t>
        </is>
      </c>
      <c r="B29" s="15" t="n">
        <v>2</v>
      </c>
      <c r="C29" s="15" t="inlineStr">
        <is>
          <t>Survey123</t>
        </is>
      </c>
      <c r="D29" s="15" t="inlineStr">
        <is>
          <t>A</t>
        </is>
      </c>
      <c r="E29" s="15" t="inlineStr">
        <is>
          <t>T1</t>
        </is>
      </c>
      <c r="F29" s="15" t="inlineStr">
        <is>
          <t>Routine check</t>
        </is>
      </c>
      <c r="G29" s="15" t="inlineStr">
        <is>
          <t>0291</t>
        </is>
      </c>
      <c r="H29" s="18" t="n"/>
      <c r="I29" s="16" t="n"/>
      <c r="J29" s="16" t="n"/>
      <c r="K29" s="16" t="n"/>
      <c r="L29" s="16" t="n"/>
    </row>
    <row r="30">
      <c r="A30" s="15" t="inlineStr">
        <is>
          <t>P3</t>
        </is>
      </c>
      <c r="B30" s="15" t="n">
        <v>2</v>
      </c>
      <c r="C30" s="15" t="inlineStr">
        <is>
          <t>Survey123</t>
        </is>
      </c>
      <c r="D30" s="15" t="inlineStr">
        <is>
          <t>A</t>
        </is>
      </c>
      <c r="E30" s="15" t="inlineStr">
        <is>
          <t>T2</t>
        </is>
      </c>
      <c r="F30" s="15" t="inlineStr">
        <is>
          <t>Low pressure, missing cap</t>
        </is>
      </c>
      <c r="G30" s="15" t="inlineStr">
        <is>
          <t>0490</t>
        </is>
      </c>
      <c r="H30" s="18" t="n"/>
      <c r="I30" s="16" t="n"/>
      <c r="J30" s="16" t="n"/>
      <c r="K30" s="16" t="n"/>
      <c r="L30" s="16" t="n"/>
    </row>
    <row r="31">
      <c r="A31" s="15" t="inlineStr">
        <is>
          <t>P3</t>
        </is>
      </c>
      <c r="B31" s="15" t="n">
        <v>2</v>
      </c>
      <c r="C31" s="15" t="inlineStr">
        <is>
          <t>Survey123</t>
        </is>
      </c>
      <c r="D31" s="15" t="inlineStr">
        <is>
          <t>A</t>
        </is>
      </c>
      <c r="E31" s="15" t="inlineStr">
        <is>
          <t>T3</t>
        </is>
      </c>
      <c r="F31" s="15" t="inlineStr">
        <is>
          <t>Several problems</t>
        </is>
      </c>
      <c r="G31" s="15" t="inlineStr">
        <is>
          <t>3641</t>
        </is>
      </c>
      <c r="H31" s="18" t="n"/>
      <c r="I31" s="16" t="n"/>
      <c r="J31" s="16" t="n"/>
      <c r="K31" s="16" t="n"/>
      <c r="L31" s="16" t="n"/>
    </row>
    <row r="32">
      <c r="A32" s="15" t="inlineStr">
        <is>
          <t>P3</t>
        </is>
      </c>
      <c r="B32" s="15" t="n">
        <v>2</v>
      </c>
      <c r="C32" s="15" t="inlineStr">
        <is>
          <t>Survey123</t>
        </is>
      </c>
      <c r="D32" s="15" t="inlineStr">
        <is>
          <t>A</t>
        </is>
      </c>
      <c r="E32" s="15" t="inlineStr">
        <is>
          <t>T4</t>
        </is>
      </c>
      <c r="F32" s="15" t="inlineStr">
        <is>
          <t>Hydrant not there</t>
        </is>
      </c>
      <c r="G32" s="15" t="inlineStr">
        <is>
          <t>0718</t>
        </is>
      </c>
      <c r="H32" s="18" t="n"/>
      <c r="I32" s="16" t="n"/>
      <c r="J32" s="16" t="n"/>
      <c r="K32" s="16" t="n"/>
      <c r="L32" s="16" t="n"/>
    </row>
    <row r="33">
      <c r="A33" s="15" t="inlineStr">
        <is>
          <t>P3</t>
        </is>
      </c>
      <c r="B33" s="15" t="n">
        <v>2</v>
      </c>
      <c r="C33" s="15" t="inlineStr">
        <is>
          <t>Survey123</t>
        </is>
      </c>
      <c r="D33" s="15" t="inlineStr">
        <is>
          <t>A</t>
        </is>
      </c>
      <c r="E33" s="15" t="inlineStr">
        <is>
          <t>T5</t>
        </is>
      </c>
      <c r="F33" s="15" t="inlineStr">
        <is>
          <t>No signal (offline)</t>
        </is>
      </c>
      <c r="G33" s="15" t="inlineStr">
        <is>
          <t>3466</t>
        </is>
      </c>
      <c r="H33" s="18" t="n"/>
      <c r="I33" s="16" t="n"/>
      <c r="J33" s="16" t="n"/>
      <c r="K33" s="16" t="n"/>
      <c r="L33" s="16" t="n"/>
    </row>
    <row r="34">
      <c r="A34" s="15" t="inlineStr">
        <is>
          <t>P3</t>
        </is>
      </c>
      <c r="B34" s="15" t="n">
        <v>2</v>
      </c>
      <c r="C34" s="15" t="inlineStr">
        <is>
          <t>Survey123</t>
        </is>
      </c>
      <c r="D34" s="15" t="inlineStr">
        <is>
          <t>A</t>
        </is>
      </c>
      <c r="E34" s="15" t="inlineStr">
        <is>
          <t>T6</t>
        </is>
      </c>
      <c r="F34" s="15" t="inlineStr">
        <is>
          <t>No account (Survey123 only)</t>
        </is>
      </c>
      <c r="G34" s="15" t="inlineStr">
        <is>
          <t>3803</t>
        </is>
      </c>
      <c r="H34" s="18" t="n"/>
      <c r="I34" s="16" t="n"/>
      <c r="J34" s="16" t="n"/>
      <c r="K34" s="16" t="n"/>
      <c r="L34" s="16" t="n"/>
    </row>
    <row r="35">
      <c r="A35" s="15" t="inlineStr">
        <is>
          <t>P4</t>
        </is>
      </c>
      <c r="B35" s="15" t="n">
        <v>1</v>
      </c>
      <c r="C35" s="15" t="inlineStr">
        <is>
          <t>Survey123</t>
        </is>
      </c>
      <c r="D35" s="15" t="inlineStr">
        <is>
          <t>B</t>
        </is>
      </c>
      <c r="E35" s="15" t="inlineStr">
        <is>
          <t>T1</t>
        </is>
      </c>
      <c r="F35" s="15" t="inlineStr">
        <is>
          <t>Routine check</t>
        </is>
      </c>
      <c r="G35" s="15" t="inlineStr">
        <is>
          <t>0353</t>
        </is>
      </c>
      <c r="H35" s="18" t="n"/>
      <c r="I35" s="16" t="n"/>
      <c r="J35" s="16" t="n"/>
      <c r="K35" s="16" t="n"/>
      <c r="L35" s="16" t="n"/>
    </row>
    <row r="36">
      <c r="A36" s="15" t="inlineStr">
        <is>
          <t>P4</t>
        </is>
      </c>
      <c r="B36" s="15" t="n">
        <v>1</v>
      </c>
      <c r="C36" s="15" t="inlineStr">
        <is>
          <t>Survey123</t>
        </is>
      </c>
      <c r="D36" s="15" t="inlineStr">
        <is>
          <t>B</t>
        </is>
      </c>
      <c r="E36" s="15" t="inlineStr">
        <is>
          <t>T2</t>
        </is>
      </c>
      <c r="F36" s="15" t="inlineStr">
        <is>
          <t>Low pressure, missing cap</t>
        </is>
      </c>
      <c r="G36" s="15" t="inlineStr">
        <is>
          <t>0564</t>
        </is>
      </c>
      <c r="H36" s="18" t="n"/>
      <c r="I36" s="16" t="n"/>
      <c r="J36" s="16" t="n"/>
      <c r="K36" s="16" t="n"/>
      <c r="L36" s="16" t="n"/>
    </row>
    <row r="37">
      <c r="A37" s="15" t="inlineStr">
        <is>
          <t>P4</t>
        </is>
      </c>
      <c r="B37" s="15" t="n">
        <v>1</v>
      </c>
      <c r="C37" s="15" t="inlineStr">
        <is>
          <t>Survey123</t>
        </is>
      </c>
      <c r="D37" s="15" t="inlineStr">
        <is>
          <t>B</t>
        </is>
      </c>
      <c r="E37" s="15" t="inlineStr">
        <is>
          <t>T3</t>
        </is>
      </c>
      <c r="F37" s="15" t="inlineStr">
        <is>
          <t>Several problems</t>
        </is>
      </c>
      <c r="G37" s="15" t="inlineStr">
        <is>
          <t>3402</t>
        </is>
      </c>
      <c r="H37" s="18" t="n"/>
      <c r="I37" s="16" t="n"/>
      <c r="J37" s="16" t="n"/>
      <c r="K37" s="16" t="n"/>
      <c r="L37" s="16" t="n"/>
    </row>
    <row r="38">
      <c r="A38" s="15" t="inlineStr">
        <is>
          <t>P4</t>
        </is>
      </c>
      <c r="B38" s="15" t="n">
        <v>1</v>
      </c>
      <c r="C38" s="15" t="inlineStr">
        <is>
          <t>Survey123</t>
        </is>
      </c>
      <c r="D38" s="15" t="inlineStr">
        <is>
          <t>B</t>
        </is>
      </c>
      <c r="E38" s="15" t="inlineStr">
        <is>
          <t>T4</t>
        </is>
      </c>
      <c r="F38" s="15" t="inlineStr">
        <is>
          <t>Hydrant not there</t>
        </is>
      </c>
      <c r="G38" s="15" t="inlineStr">
        <is>
          <t>0570</t>
        </is>
      </c>
      <c r="H38" s="18" t="n"/>
      <c r="I38" s="16" t="n"/>
      <c r="J38" s="16" t="n"/>
      <c r="K38" s="16" t="n"/>
      <c r="L38" s="16" t="n"/>
    </row>
    <row r="39">
      <c r="A39" s="15" t="inlineStr">
        <is>
          <t>P4</t>
        </is>
      </c>
      <c r="B39" s="15" t="n">
        <v>1</v>
      </c>
      <c r="C39" s="15" t="inlineStr">
        <is>
          <t>Survey123</t>
        </is>
      </c>
      <c r="D39" s="15" t="inlineStr">
        <is>
          <t>B</t>
        </is>
      </c>
      <c r="E39" s="15" t="inlineStr">
        <is>
          <t>T5</t>
        </is>
      </c>
      <c r="F39" s="15" t="inlineStr">
        <is>
          <t>No signal (offline)</t>
        </is>
      </c>
      <c r="G39" s="15" t="inlineStr">
        <is>
          <t>3467</t>
        </is>
      </c>
      <c r="H39" s="18" t="n"/>
      <c r="I39" s="16" t="n"/>
      <c r="J39" s="16" t="n"/>
      <c r="K39" s="16" t="n"/>
      <c r="L39" s="16" t="n"/>
    </row>
    <row r="40">
      <c r="A40" s="15" t="inlineStr">
        <is>
          <t>P4</t>
        </is>
      </c>
      <c r="B40" s="15" t="n">
        <v>1</v>
      </c>
      <c r="C40" s="15" t="inlineStr">
        <is>
          <t>Survey123</t>
        </is>
      </c>
      <c r="D40" s="15" t="inlineStr">
        <is>
          <t>B</t>
        </is>
      </c>
      <c r="E40" s="15" t="inlineStr">
        <is>
          <t>T6</t>
        </is>
      </c>
      <c r="F40" s="15" t="inlineStr">
        <is>
          <t>No account (Survey123 only)</t>
        </is>
      </c>
      <c r="G40" s="15" t="inlineStr">
        <is>
          <t>3808</t>
        </is>
      </c>
      <c r="H40" s="18" t="n"/>
      <c r="I40" s="16" t="n"/>
      <c r="J40" s="16" t="n"/>
      <c r="K40" s="16" t="n"/>
      <c r="L40" s="16" t="n"/>
    </row>
    <row r="41">
      <c r="A41" s="15" t="inlineStr">
        <is>
          <t>P4</t>
        </is>
      </c>
      <c r="B41" s="15" t="n">
        <v>2</v>
      </c>
      <c r="C41" s="15" t="inlineStr">
        <is>
          <t>Field Maps</t>
        </is>
      </c>
      <c r="D41" s="15" t="inlineStr">
        <is>
          <t>A</t>
        </is>
      </c>
      <c r="E41" s="15" t="inlineStr">
        <is>
          <t>T1</t>
        </is>
      </c>
      <c r="F41" s="15" t="inlineStr">
        <is>
          <t>Routine check</t>
        </is>
      </c>
      <c r="G41" s="15" t="inlineStr">
        <is>
          <t>0291</t>
        </is>
      </c>
      <c r="H41" s="18" t="n"/>
      <c r="I41" s="16" t="n"/>
      <c r="J41" s="16" t="n"/>
      <c r="K41" s="16" t="n"/>
      <c r="L41" s="16" t="n"/>
    </row>
    <row r="42">
      <c r="A42" s="15" t="inlineStr">
        <is>
          <t>P4</t>
        </is>
      </c>
      <c r="B42" s="15" t="n">
        <v>2</v>
      </c>
      <c r="C42" s="15" t="inlineStr">
        <is>
          <t>Field Maps</t>
        </is>
      </c>
      <c r="D42" s="15" t="inlineStr">
        <is>
          <t>A</t>
        </is>
      </c>
      <c r="E42" s="15" t="inlineStr">
        <is>
          <t>T2</t>
        </is>
      </c>
      <c r="F42" s="15" t="inlineStr">
        <is>
          <t>Low pressure, missing cap</t>
        </is>
      </c>
      <c r="G42" s="15" t="inlineStr">
        <is>
          <t>0490</t>
        </is>
      </c>
      <c r="H42" s="18" t="n"/>
      <c r="I42" s="16" t="n"/>
      <c r="J42" s="16" t="n"/>
      <c r="K42" s="16" t="n"/>
      <c r="L42" s="16" t="n"/>
    </row>
    <row r="43">
      <c r="A43" s="15" t="inlineStr">
        <is>
          <t>P4</t>
        </is>
      </c>
      <c r="B43" s="15" t="n">
        <v>2</v>
      </c>
      <c r="C43" s="15" t="inlineStr">
        <is>
          <t>Field Maps</t>
        </is>
      </c>
      <c r="D43" s="15" t="inlineStr">
        <is>
          <t>A</t>
        </is>
      </c>
      <c r="E43" s="15" t="inlineStr">
        <is>
          <t>T3</t>
        </is>
      </c>
      <c r="F43" s="15" t="inlineStr">
        <is>
          <t>Several problems</t>
        </is>
      </c>
      <c r="G43" s="15" t="inlineStr">
        <is>
          <t>3641</t>
        </is>
      </c>
      <c r="H43" s="18" t="n"/>
      <c r="I43" s="16" t="n"/>
      <c r="J43" s="16" t="n"/>
      <c r="K43" s="16" t="n"/>
      <c r="L43" s="16" t="n"/>
    </row>
    <row r="44">
      <c r="A44" s="15" t="inlineStr">
        <is>
          <t>P4</t>
        </is>
      </c>
      <c r="B44" s="15" t="n">
        <v>2</v>
      </c>
      <c r="C44" s="15" t="inlineStr">
        <is>
          <t>Field Maps</t>
        </is>
      </c>
      <c r="D44" s="15" t="inlineStr">
        <is>
          <t>A</t>
        </is>
      </c>
      <c r="E44" s="15" t="inlineStr">
        <is>
          <t>T4</t>
        </is>
      </c>
      <c r="F44" s="15" t="inlineStr">
        <is>
          <t>Hydrant not there</t>
        </is>
      </c>
      <c r="G44" s="15" t="inlineStr">
        <is>
          <t>0718</t>
        </is>
      </c>
      <c r="H44" s="18" t="n"/>
      <c r="I44" s="16" t="n"/>
      <c r="J44" s="16" t="n"/>
      <c r="K44" s="16" t="n"/>
      <c r="L44" s="16" t="n"/>
    </row>
    <row r="45">
      <c r="A45" s="15" t="inlineStr">
        <is>
          <t>P4</t>
        </is>
      </c>
      <c r="B45" s="15" t="n">
        <v>2</v>
      </c>
      <c r="C45" s="15" t="inlineStr">
        <is>
          <t>Field Maps</t>
        </is>
      </c>
      <c r="D45" s="15" t="inlineStr">
        <is>
          <t>A</t>
        </is>
      </c>
      <c r="E45" s="15" t="inlineStr">
        <is>
          <t>T5</t>
        </is>
      </c>
      <c r="F45" s="15" t="inlineStr">
        <is>
          <t>No signal (offline)</t>
        </is>
      </c>
      <c r="G45" s="15" t="inlineStr">
        <is>
          <t>3466</t>
        </is>
      </c>
      <c r="H45" s="18" t="n"/>
      <c r="I45" s="16" t="n"/>
      <c r="J45" s="16" t="n"/>
      <c r="K45" s="16" t="n"/>
      <c r="L45" s="16" t="n"/>
    </row>
    <row r="46">
      <c r="A46" s="15" t="inlineStr">
        <is>
          <t>P5</t>
        </is>
      </c>
      <c r="B46" s="15" t="n">
        <v>1</v>
      </c>
      <c r="C46" s="15" t="inlineStr">
        <is>
          <t>Field Maps</t>
        </is>
      </c>
      <c r="D46" s="15" t="inlineStr">
        <is>
          <t>A</t>
        </is>
      </c>
      <c r="E46" s="15" t="inlineStr">
        <is>
          <t>T1</t>
        </is>
      </c>
      <c r="F46" s="15" t="inlineStr">
        <is>
          <t>Routine check</t>
        </is>
      </c>
      <c r="G46" s="15" t="inlineStr">
        <is>
          <t>0291</t>
        </is>
      </c>
      <c r="H46" s="18" t="n"/>
      <c r="I46" s="16" t="n"/>
      <c r="J46" s="16" t="n"/>
      <c r="K46" s="16" t="n"/>
      <c r="L46" s="16" t="n"/>
    </row>
    <row r="47">
      <c r="A47" s="15" t="inlineStr">
        <is>
          <t>P5</t>
        </is>
      </c>
      <c r="B47" s="15" t="n">
        <v>1</v>
      </c>
      <c r="C47" s="15" t="inlineStr">
        <is>
          <t>Field Maps</t>
        </is>
      </c>
      <c r="D47" s="15" t="inlineStr">
        <is>
          <t>A</t>
        </is>
      </c>
      <c r="E47" s="15" t="inlineStr">
        <is>
          <t>T2</t>
        </is>
      </c>
      <c r="F47" s="15" t="inlineStr">
        <is>
          <t>Low pressure, missing cap</t>
        </is>
      </c>
      <c r="G47" s="15" t="inlineStr">
        <is>
          <t>0490</t>
        </is>
      </c>
      <c r="H47" s="18" t="n"/>
      <c r="I47" s="16" t="n"/>
      <c r="J47" s="16" t="n"/>
      <c r="K47" s="16" t="n"/>
      <c r="L47" s="16" t="n"/>
    </row>
    <row r="48">
      <c r="A48" s="15" t="inlineStr">
        <is>
          <t>P5</t>
        </is>
      </c>
      <c r="B48" s="15" t="n">
        <v>1</v>
      </c>
      <c r="C48" s="15" t="inlineStr">
        <is>
          <t>Field Maps</t>
        </is>
      </c>
      <c r="D48" s="15" t="inlineStr">
        <is>
          <t>A</t>
        </is>
      </c>
      <c r="E48" s="15" t="inlineStr">
        <is>
          <t>T3</t>
        </is>
      </c>
      <c r="F48" s="15" t="inlineStr">
        <is>
          <t>Several problems</t>
        </is>
      </c>
      <c r="G48" s="15" t="inlineStr">
        <is>
          <t>3641</t>
        </is>
      </c>
      <c r="H48" s="18" t="n"/>
      <c r="I48" s="16" t="n"/>
      <c r="J48" s="16" t="n"/>
      <c r="K48" s="16" t="n"/>
      <c r="L48" s="16" t="n"/>
    </row>
    <row r="49">
      <c r="A49" s="15" t="inlineStr">
        <is>
          <t>P5</t>
        </is>
      </c>
      <c r="B49" s="15" t="n">
        <v>1</v>
      </c>
      <c r="C49" s="15" t="inlineStr">
        <is>
          <t>Field Maps</t>
        </is>
      </c>
      <c r="D49" s="15" t="inlineStr">
        <is>
          <t>A</t>
        </is>
      </c>
      <c r="E49" s="15" t="inlineStr">
        <is>
          <t>T4</t>
        </is>
      </c>
      <c r="F49" s="15" t="inlineStr">
        <is>
          <t>Hydrant not there</t>
        </is>
      </c>
      <c r="G49" s="15" t="inlineStr">
        <is>
          <t>0718</t>
        </is>
      </c>
      <c r="H49" s="18" t="n"/>
      <c r="I49" s="16" t="n"/>
      <c r="J49" s="16" t="n"/>
      <c r="K49" s="16" t="n"/>
      <c r="L49" s="16" t="n"/>
    </row>
    <row r="50">
      <c r="A50" s="15" t="inlineStr">
        <is>
          <t>P5</t>
        </is>
      </c>
      <c r="B50" s="15" t="n">
        <v>1</v>
      </c>
      <c r="C50" s="15" t="inlineStr">
        <is>
          <t>Field Maps</t>
        </is>
      </c>
      <c r="D50" s="15" t="inlineStr">
        <is>
          <t>A</t>
        </is>
      </c>
      <c r="E50" s="15" t="inlineStr">
        <is>
          <t>T5</t>
        </is>
      </c>
      <c r="F50" s="15" t="inlineStr">
        <is>
          <t>No signal (offline)</t>
        </is>
      </c>
      <c r="G50" s="15" t="inlineStr">
        <is>
          <t>3466</t>
        </is>
      </c>
      <c r="H50" s="18" t="n"/>
      <c r="I50" s="16" t="n"/>
      <c r="J50" s="16" t="n"/>
      <c r="K50" s="16" t="n"/>
      <c r="L50" s="16" t="n"/>
    </row>
    <row r="51">
      <c r="A51" s="15" t="inlineStr">
        <is>
          <t>P5</t>
        </is>
      </c>
      <c r="B51" s="15" t="n">
        <v>2</v>
      </c>
      <c r="C51" s="15" t="inlineStr">
        <is>
          <t>Survey123</t>
        </is>
      </c>
      <c r="D51" s="15" t="inlineStr">
        <is>
          <t>B</t>
        </is>
      </c>
      <c r="E51" s="15" t="inlineStr">
        <is>
          <t>T1</t>
        </is>
      </c>
      <c r="F51" s="15" t="inlineStr">
        <is>
          <t>Routine check</t>
        </is>
      </c>
      <c r="G51" s="15" t="inlineStr">
        <is>
          <t>0353</t>
        </is>
      </c>
      <c r="H51" s="18" t="n"/>
      <c r="I51" s="16" t="n"/>
      <c r="J51" s="16" t="n"/>
      <c r="K51" s="16" t="n"/>
      <c r="L51" s="16" t="n"/>
    </row>
    <row r="52">
      <c r="A52" s="15" t="inlineStr">
        <is>
          <t>P5</t>
        </is>
      </c>
      <c r="B52" s="15" t="n">
        <v>2</v>
      </c>
      <c r="C52" s="15" t="inlineStr">
        <is>
          <t>Survey123</t>
        </is>
      </c>
      <c r="D52" s="15" t="inlineStr">
        <is>
          <t>B</t>
        </is>
      </c>
      <c r="E52" s="15" t="inlineStr">
        <is>
          <t>T2</t>
        </is>
      </c>
      <c r="F52" s="15" t="inlineStr">
        <is>
          <t>Low pressure, missing cap</t>
        </is>
      </c>
      <c r="G52" s="15" t="inlineStr">
        <is>
          <t>0564</t>
        </is>
      </c>
      <c r="H52" s="18" t="n"/>
      <c r="I52" s="16" t="n"/>
      <c r="J52" s="16" t="n"/>
      <c r="K52" s="16" t="n"/>
      <c r="L52" s="16" t="n"/>
    </row>
    <row r="53">
      <c r="A53" s="15" t="inlineStr">
        <is>
          <t>P5</t>
        </is>
      </c>
      <c r="B53" s="15" t="n">
        <v>2</v>
      </c>
      <c r="C53" s="15" t="inlineStr">
        <is>
          <t>Survey123</t>
        </is>
      </c>
      <c r="D53" s="15" t="inlineStr">
        <is>
          <t>B</t>
        </is>
      </c>
      <c r="E53" s="15" t="inlineStr">
        <is>
          <t>T3</t>
        </is>
      </c>
      <c r="F53" s="15" t="inlineStr">
        <is>
          <t>Several problems</t>
        </is>
      </c>
      <c r="G53" s="15" t="inlineStr">
        <is>
          <t>3402</t>
        </is>
      </c>
      <c r="H53" s="18" t="n"/>
      <c r="I53" s="16" t="n"/>
      <c r="J53" s="16" t="n"/>
      <c r="K53" s="16" t="n"/>
      <c r="L53" s="16" t="n"/>
    </row>
    <row r="54">
      <c r="A54" s="15" t="inlineStr">
        <is>
          <t>P5</t>
        </is>
      </c>
      <c r="B54" s="15" t="n">
        <v>2</v>
      </c>
      <c r="C54" s="15" t="inlineStr">
        <is>
          <t>Survey123</t>
        </is>
      </c>
      <c r="D54" s="15" t="inlineStr">
        <is>
          <t>B</t>
        </is>
      </c>
      <c r="E54" s="15" t="inlineStr">
        <is>
          <t>T4</t>
        </is>
      </c>
      <c r="F54" s="15" t="inlineStr">
        <is>
          <t>Hydrant not there</t>
        </is>
      </c>
      <c r="G54" s="15" t="inlineStr">
        <is>
          <t>0570</t>
        </is>
      </c>
      <c r="H54" s="18" t="n"/>
      <c r="I54" s="16" t="n"/>
      <c r="J54" s="16" t="n"/>
      <c r="K54" s="16" t="n"/>
      <c r="L54" s="16" t="n"/>
    </row>
    <row r="55">
      <c r="A55" s="15" t="inlineStr">
        <is>
          <t>P5</t>
        </is>
      </c>
      <c r="B55" s="15" t="n">
        <v>2</v>
      </c>
      <c r="C55" s="15" t="inlineStr">
        <is>
          <t>Survey123</t>
        </is>
      </c>
      <c r="D55" s="15" t="inlineStr">
        <is>
          <t>B</t>
        </is>
      </c>
      <c r="E55" s="15" t="inlineStr">
        <is>
          <t>T5</t>
        </is>
      </c>
      <c r="F55" s="15" t="inlineStr">
        <is>
          <t>No signal (offline)</t>
        </is>
      </c>
      <c r="G55" s="15" t="inlineStr">
        <is>
          <t>3467</t>
        </is>
      </c>
      <c r="H55" s="18" t="n"/>
      <c r="I55" s="16" t="n"/>
      <c r="J55" s="16" t="n"/>
      <c r="K55" s="16" t="n"/>
      <c r="L55" s="16" t="n"/>
    </row>
    <row r="56">
      <c r="A56" s="15" t="inlineStr">
        <is>
          <t>P5</t>
        </is>
      </c>
      <c r="B56" s="15" t="n">
        <v>2</v>
      </c>
      <c r="C56" s="15" t="inlineStr">
        <is>
          <t>Survey123</t>
        </is>
      </c>
      <c r="D56" s="15" t="inlineStr">
        <is>
          <t>B</t>
        </is>
      </c>
      <c r="E56" s="15" t="inlineStr">
        <is>
          <t>T6</t>
        </is>
      </c>
      <c r="F56" s="15" t="inlineStr">
        <is>
          <t>No account (Survey123 only)</t>
        </is>
      </c>
      <c r="G56" s="15" t="inlineStr">
        <is>
          <t>3808</t>
        </is>
      </c>
      <c r="H56" s="18" t="n"/>
      <c r="I56" s="16" t="n"/>
      <c r="J56" s="16" t="n"/>
      <c r="K56" s="16" t="n"/>
      <c r="L56" s="16" t="n"/>
    </row>
    <row r="57">
      <c r="A57" s="15" t="inlineStr">
        <is>
          <t>P6</t>
        </is>
      </c>
      <c r="B57" s="15" t="n">
        <v>1</v>
      </c>
      <c r="C57" s="15" t="inlineStr">
        <is>
          <t>Survey123</t>
        </is>
      </c>
      <c r="D57" s="15" t="inlineStr">
        <is>
          <t>A</t>
        </is>
      </c>
      <c r="E57" s="15" t="inlineStr">
        <is>
          <t>T1</t>
        </is>
      </c>
      <c r="F57" s="15" t="inlineStr">
        <is>
          <t>Routine check</t>
        </is>
      </c>
      <c r="G57" s="15" t="inlineStr">
        <is>
          <t>0291</t>
        </is>
      </c>
      <c r="H57" s="18" t="n"/>
      <c r="I57" s="16" t="n"/>
      <c r="J57" s="16" t="n"/>
      <c r="K57" s="16" t="n"/>
      <c r="L57" s="16" t="n"/>
    </row>
    <row r="58">
      <c r="A58" s="15" t="inlineStr">
        <is>
          <t>P6</t>
        </is>
      </c>
      <c r="B58" s="15" t="n">
        <v>1</v>
      </c>
      <c r="C58" s="15" t="inlineStr">
        <is>
          <t>Survey123</t>
        </is>
      </c>
      <c r="D58" s="15" t="inlineStr">
        <is>
          <t>A</t>
        </is>
      </c>
      <c r="E58" s="15" t="inlineStr">
        <is>
          <t>T2</t>
        </is>
      </c>
      <c r="F58" s="15" t="inlineStr">
        <is>
          <t>Low pressure, missing cap</t>
        </is>
      </c>
      <c r="G58" s="15" t="inlineStr">
        <is>
          <t>0490</t>
        </is>
      </c>
      <c r="H58" s="18" t="n"/>
      <c r="I58" s="16" t="n"/>
      <c r="J58" s="16" t="n"/>
      <c r="K58" s="16" t="n"/>
      <c r="L58" s="16" t="n"/>
    </row>
    <row r="59">
      <c r="A59" s="15" t="inlineStr">
        <is>
          <t>P6</t>
        </is>
      </c>
      <c r="B59" s="15" t="n">
        <v>1</v>
      </c>
      <c r="C59" s="15" t="inlineStr">
        <is>
          <t>Survey123</t>
        </is>
      </c>
      <c r="D59" s="15" t="inlineStr">
        <is>
          <t>A</t>
        </is>
      </c>
      <c r="E59" s="15" t="inlineStr">
        <is>
          <t>T3</t>
        </is>
      </c>
      <c r="F59" s="15" t="inlineStr">
        <is>
          <t>Several problems</t>
        </is>
      </c>
      <c r="G59" s="15" t="inlineStr">
        <is>
          <t>3641</t>
        </is>
      </c>
      <c r="H59" s="18" t="n"/>
      <c r="I59" s="16" t="n"/>
      <c r="J59" s="16" t="n"/>
      <c r="K59" s="16" t="n"/>
      <c r="L59" s="16" t="n"/>
    </row>
    <row r="60">
      <c r="A60" s="15" t="inlineStr">
        <is>
          <t>P6</t>
        </is>
      </c>
      <c r="B60" s="15" t="n">
        <v>1</v>
      </c>
      <c r="C60" s="15" t="inlineStr">
        <is>
          <t>Survey123</t>
        </is>
      </c>
      <c r="D60" s="15" t="inlineStr">
        <is>
          <t>A</t>
        </is>
      </c>
      <c r="E60" s="15" t="inlineStr">
        <is>
          <t>T4</t>
        </is>
      </c>
      <c r="F60" s="15" t="inlineStr">
        <is>
          <t>Hydrant not there</t>
        </is>
      </c>
      <c r="G60" s="15" t="inlineStr">
        <is>
          <t>0718</t>
        </is>
      </c>
      <c r="H60" s="18" t="n"/>
      <c r="I60" s="16" t="n"/>
      <c r="J60" s="16" t="n"/>
      <c r="K60" s="16" t="n"/>
      <c r="L60" s="16" t="n"/>
    </row>
    <row r="61">
      <c r="A61" s="15" t="inlineStr">
        <is>
          <t>P6</t>
        </is>
      </c>
      <c r="B61" s="15" t="n">
        <v>1</v>
      </c>
      <c r="C61" s="15" t="inlineStr">
        <is>
          <t>Survey123</t>
        </is>
      </c>
      <c r="D61" s="15" t="inlineStr">
        <is>
          <t>A</t>
        </is>
      </c>
      <c r="E61" s="15" t="inlineStr">
        <is>
          <t>T5</t>
        </is>
      </c>
      <c r="F61" s="15" t="inlineStr">
        <is>
          <t>No signal (offline)</t>
        </is>
      </c>
      <c r="G61" s="15" t="inlineStr">
        <is>
          <t>3466</t>
        </is>
      </c>
      <c r="H61" s="18" t="n"/>
      <c r="I61" s="16" t="n"/>
      <c r="J61" s="16" t="n"/>
      <c r="K61" s="16" t="n"/>
      <c r="L61" s="16" t="n"/>
    </row>
    <row r="62">
      <c r="A62" s="15" t="inlineStr">
        <is>
          <t>P6</t>
        </is>
      </c>
      <c r="B62" s="15" t="n">
        <v>1</v>
      </c>
      <c r="C62" s="15" t="inlineStr">
        <is>
          <t>Survey123</t>
        </is>
      </c>
      <c r="D62" s="15" t="inlineStr">
        <is>
          <t>A</t>
        </is>
      </c>
      <c r="E62" s="15" t="inlineStr">
        <is>
          <t>T6</t>
        </is>
      </c>
      <c r="F62" s="15" t="inlineStr">
        <is>
          <t>No account (Survey123 only)</t>
        </is>
      </c>
      <c r="G62" s="15" t="inlineStr">
        <is>
          <t>3803</t>
        </is>
      </c>
      <c r="H62" s="18" t="n"/>
      <c r="I62" s="16" t="n"/>
      <c r="J62" s="16" t="n"/>
      <c r="K62" s="16" t="n"/>
      <c r="L62" s="16" t="n"/>
    </row>
    <row r="63">
      <c r="A63" s="15" t="inlineStr">
        <is>
          <t>P6</t>
        </is>
      </c>
      <c r="B63" s="15" t="n">
        <v>2</v>
      </c>
      <c r="C63" s="15" t="inlineStr">
        <is>
          <t>Field Maps</t>
        </is>
      </c>
      <c r="D63" s="15" t="inlineStr">
        <is>
          <t>B</t>
        </is>
      </c>
      <c r="E63" s="15" t="inlineStr">
        <is>
          <t>T1</t>
        </is>
      </c>
      <c r="F63" s="15" t="inlineStr">
        <is>
          <t>Routine check</t>
        </is>
      </c>
      <c r="G63" s="15" t="inlineStr">
        <is>
          <t>0353</t>
        </is>
      </c>
      <c r="H63" s="18" t="n"/>
      <c r="I63" s="16" t="n"/>
      <c r="J63" s="16" t="n"/>
      <c r="K63" s="16" t="n"/>
      <c r="L63" s="16" t="n"/>
    </row>
    <row r="64">
      <c r="A64" s="15" t="inlineStr">
        <is>
          <t>P6</t>
        </is>
      </c>
      <c r="B64" s="15" t="n">
        <v>2</v>
      </c>
      <c r="C64" s="15" t="inlineStr">
        <is>
          <t>Field Maps</t>
        </is>
      </c>
      <c r="D64" s="15" t="inlineStr">
        <is>
          <t>B</t>
        </is>
      </c>
      <c r="E64" s="15" t="inlineStr">
        <is>
          <t>T2</t>
        </is>
      </c>
      <c r="F64" s="15" t="inlineStr">
        <is>
          <t>Low pressure, missing cap</t>
        </is>
      </c>
      <c r="G64" s="15" t="inlineStr">
        <is>
          <t>0564</t>
        </is>
      </c>
      <c r="H64" s="18" t="n"/>
      <c r="I64" s="16" t="n"/>
      <c r="J64" s="16" t="n"/>
      <c r="K64" s="16" t="n"/>
      <c r="L64" s="16" t="n"/>
    </row>
    <row r="65">
      <c r="A65" s="15" t="inlineStr">
        <is>
          <t>P6</t>
        </is>
      </c>
      <c r="B65" s="15" t="n">
        <v>2</v>
      </c>
      <c r="C65" s="15" t="inlineStr">
        <is>
          <t>Field Maps</t>
        </is>
      </c>
      <c r="D65" s="15" t="inlineStr">
        <is>
          <t>B</t>
        </is>
      </c>
      <c r="E65" s="15" t="inlineStr">
        <is>
          <t>T3</t>
        </is>
      </c>
      <c r="F65" s="15" t="inlineStr">
        <is>
          <t>Several problems</t>
        </is>
      </c>
      <c r="G65" s="15" t="inlineStr">
        <is>
          <t>3402</t>
        </is>
      </c>
      <c r="H65" s="18" t="n"/>
      <c r="I65" s="16" t="n"/>
      <c r="J65" s="16" t="n"/>
      <c r="K65" s="16" t="n"/>
      <c r="L65" s="16" t="n"/>
    </row>
    <row r="66">
      <c r="A66" s="15" t="inlineStr">
        <is>
          <t>P6</t>
        </is>
      </c>
      <c r="B66" s="15" t="n">
        <v>2</v>
      </c>
      <c r="C66" s="15" t="inlineStr">
        <is>
          <t>Field Maps</t>
        </is>
      </c>
      <c r="D66" s="15" t="inlineStr">
        <is>
          <t>B</t>
        </is>
      </c>
      <c r="E66" s="15" t="inlineStr">
        <is>
          <t>T4</t>
        </is>
      </c>
      <c r="F66" s="15" t="inlineStr">
        <is>
          <t>Hydrant not there</t>
        </is>
      </c>
      <c r="G66" s="15" t="inlineStr">
        <is>
          <t>0570</t>
        </is>
      </c>
      <c r="H66" s="18" t="n"/>
      <c r="I66" s="16" t="n"/>
      <c r="J66" s="16" t="n"/>
      <c r="K66" s="16" t="n"/>
      <c r="L66" s="16" t="n"/>
    </row>
    <row r="67">
      <c r="A67" s="15" t="inlineStr">
        <is>
          <t>P6</t>
        </is>
      </c>
      <c r="B67" s="15" t="n">
        <v>2</v>
      </c>
      <c r="C67" s="15" t="inlineStr">
        <is>
          <t>Field Maps</t>
        </is>
      </c>
      <c r="D67" s="15" t="inlineStr">
        <is>
          <t>B</t>
        </is>
      </c>
      <c r="E67" s="15" t="inlineStr">
        <is>
          <t>T5</t>
        </is>
      </c>
      <c r="F67" s="15" t="inlineStr">
        <is>
          <t>No signal (offline)</t>
        </is>
      </c>
      <c r="G67" s="15" t="inlineStr">
        <is>
          <t>3467</t>
        </is>
      </c>
      <c r="H67" s="18" t="n"/>
      <c r="I67" s="16" t="n"/>
      <c r="J67" s="16" t="n"/>
      <c r="K67" s="16" t="n"/>
      <c r="L67" s="16" t="n"/>
    </row>
    <row r="68">
      <c r="A68" s="15" t="inlineStr">
        <is>
          <t>P7</t>
        </is>
      </c>
      <c r="B68" s="15" t="n">
        <v>1</v>
      </c>
      <c r="C68" s="15" t="inlineStr">
        <is>
          <t>Field Maps</t>
        </is>
      </c>
      <c r="D68" s="15" t="inlineStr">
        <is>
          <t>B</t>
        </is>
      </c>
      <c r="E68" s="15" t="inlineStr">
        <is>
          <t>T1</t>
        </is>
      </c>
      <c r="F68" s="15" t="inlineStr">
        <is>
          <t>Routine check</t>
        </is>
      </c>
      <c r="G68" s="15" t="inlineStr">
        <is>
          <t>0353</t>
        </is>
      </c>
      <c r="H68" s="18" t="n"/>
      <c r="I68" s="16" t="n"/>
      <c r="J68" s="16" t="n"/>
      <c r="K68" s="16" t="n"/>
      <c r="L68" s="16" t="n"/>
    </row>
    <row r="69">
      <c r="A69" s="15" t="inlineStr">
        <is>
          <t>P7</t>
        </is>
      </c>
      <c r="B69" s="15" t="n">
        <v>1</v>
      </c>
      <c r="C69" s="15" t="inlineStr">
        <is>
          <t>Field Maps</t>
        </is>
      </c>
      <c r="D69" s="15" t="inlineStr">
        <is>
          <t>B</t>
        </is>
      </c>
      <c r="E69" s="15" t="inlineStr">
        <is>
          <t>T2</t>
        </is>
      </c>
      <c r="F69" s="15" t="inlineStr">
        <is>
          <t>Low pressure, missing cap</t>
        </is>
      </c>
      <c r="G69" s="15" t="inlineStr">
        <is>
          <t>0564</t>
        </is>
      </c>
      <c r="H69" s="18" t="n"/>
      <c r="I69" s="16" t="n"/>
      <c r="J69" s="16" t="n"/>
      <c r="K69" s="16" t="n"/>
      <c r="L69" s="16" t="n"/>
    </row>
    <row r="70">
      <c r="A70" s="15" t="inlineStr">
        <is>
          <t>P7</t>
        </is>
      </c>
      <c r="B70" s="15" t="n">
        <v>1</v>
      </c>
      <c r="C70" s="15" t="inlineStr">
        <is>
          <t>Field Maps</t>
        </is>
      </c>
      <c r="D70" s="15" t="inlineStr">
        <is>
          <t>B</t>
        </is>
      </c>
      <c r="E70" s="15" t="inlineStr">
        <is>
          <t>T3</t>
        </is>
      </c>
      <c r="F70" s="15" t="inlineStr">
        <is>
          <t>Several problems</t>
        </is>
      </c>
      <c r="G70" s="15" t="inlineStr">
        <is>
          <t>3402</t>
        </is>
      </c>
      <c r="H70" s="18" t="n"/>
      <c r="I70" s="16" t="n"/>
      <c r="J70" s="16" t="n"/>
      <c r="K70" s="16" t="n"/>
      <c r="L70" s="16" t="n"/>
    </row>
    <row r="71">
      <c r="A71" s="15" t="inlineStr">
        <is>
          <t>P7</t>
        </is>
      </c>
      <c r="B71" s="15" t="n">
        <v>1</v>
      </c>
      <c r="C71" s="15" t="inlineStr">
        <is>
          <t>Field Maps</t>
        </is>
      </c>
      <c r="D71" s="15" t="inlineStr">
        <is>
          <t>B</t>
        </is>
      </c>
      <c r="E71" s="15" t="inlineStr">
        <is>
          <t>T4</t>
        </is>
      </c>
      <c r="F71" s="15" t="inlineStr">
        <is>
          <t>Hydrant not there</t>
        </is>
      </c>
      <c r="G71" s="15" t="inlineStr">
        <is>
          <t>0570</t>
        </is>
      </c>
      <c r="H71" s="18" t="n"/>
      <c r="I71" s="16" t="n"/>
      <c r="J71" s="16" t="n"/>
      <c r="K71" s="16" t="n"/>
      <c r="L71" s="16" t="n"/>
    </row>
    <row r="72">
      <c r="A72" s="15" t="inlineStr">
        <is>
          <t>P7</t>
        </is>
      </c>
      <c r="B72" s="15" t="n">
        <v>1</v>
      </c>
      <c r="C72" s="15" t="inlineStr">
        <is>
          <t>Field Maps</t>
        </is>
      </c>
      <c r="D72" s="15" t="inlineStr">
        <is>
          <t>B</t>
        </is>
      </c>
      <c r="E72" s="15" t="inlineStr">
        <is>
          <t>T5</t>
        </is>
      </c>
      <c r="F72" s="15" t="inlineStr">
        <is>
          <t>No signal (offline)</t>
        </is>
      </c>
      <c r="G72" s="15" t="inlineStr">
        <is>
          <t>3467</t>
        </is>
      </c>
      <c r="H72" s="18" t="n"/>
      <c r="I72" s="16" t="n"/>
      <c r="J72" s="16" t="n"/>
      <c r="K72" s="16" t="n"/>
      <c r="L72" s="16" t="n"/>
    </row>
    <row r="73">
      <c r="A73" s="15" t="inlineStr">
        <is>
          <t>P7</t>
        </is>
      </c>
      <c r="B73" s="15" t="n">
        <v>2</v>
      </c>
      <c r="C73" s="15" t="inlineStr">
        <is>
          <t>Survey123</t>
        </is>
      </c>
      <c r="D73" s="15" t="inlineStr">
        <is>
          <t>A</t>
        </is>
      </c>
      <c r="E73" s="15" t="inlineStr">
        <is>
          <t>T1</t>
        </is>
      </c>
      <c r="F73" s="15" t="inlineStr">
        <is>
          <t>Routine check</t>
        </is>
      </c>
      <c r="G73" s="15" t="inlineStr">
        <is>
          <t>0291</t>
        </is>
      </c>
      <c r="H73" s="18" t="n"/>
      <c r="I73" s="16" t="n"/>
      <c r="J73" s="16" t="n"/>
      <c r="K73" s="16" t="n"/>
      <c r="L73" s="16" t="n"/>
    </row>
    <row r="74">
      <c r="A74" s="15" t="inlineStr">
        <is>
          <t>P7</t>
        </is>
      </c>
      <c r="B74" s="15" t="n">
        <v>2</v>
      </c>
      <c r="C74" s="15" t="inlineStr">
        <is>
          <t>Survey123</t>
        </is>
      </c>
      <c r="D74" s="15" t="inlineStr">
        <is>
          <t>A</t>
        </is>
      </c>
      <c r="E74" s="15" t="inlineStr">
        <is>
          <t>T2</t>
        </is>
      </c>
      <c r="F74" s="15" t="inlineStr">
        <is>
          <t>Low pressure, missing cap</t>
        </is>
      </c>
      <c r="G74" s="15" t="inlineStr">
        <is>
          <t>0490</t>
        </is>
      </c>
      <c r="H74" s="18" t="n"/>
      <c r="I74" s="16" t="n"/>
      <c r="J74" s="16" t="n"/>
      <c r="K74" s="16" t="n"/>
      <c r="L74" s="16" t="n"/>
    </row>
    <row r="75">
      <c r="A75" s="15" t="inlineStr">
        <is>
          <t>P7</t>
        </is>
      </c>
      <c r="B75" s="15" t="n">
        <v>2</v>
      </c>
      <c r="C75" s="15" t="inlineStr">
        <is>
          <t>Survey123</t>
        </is>
      </c>
      <c r="D75" s="15" t="inlineStr">
        <is>
          <t>A</t>
        </is>
      </c>
      <c r="E75" s="15" t="inlineStr">
        <is>
          <t>T3</t>
        </is>
      </c>
      <c r="F75" s="15" t="inlineStr">
        <is>
          <t>Several problems</t>
        </is>
      </c>
      <c r="G75" s="15" t="inlineStr">
        <is>
          <t>3641</t>
        </is>
      </c>
      <c r="H75" s="18" t="n"/>
      <c r="I75" s="16" t="n"/>
      <c r="J75" s="16" t="n"/>
      <c r="K75" s="16" t="n"/>
      <c r="L75" s="16" t="n"/>
    </row>
    <row r="76">
      <c r="A76" s="15" t="inlineStr">
        <is>
          <t>P7</t>
        </is>
      </c>
      <c r="B76" s="15" t="n">
        <v>2</v>
      </c>
      <c r="C76" s="15" t="inlineStr">
        <is>
          <t>Survey123</t>
        </is>
      </c>
      <c r="D76" s="15" t="inlineStr">
        <is>
          <t>A</t>
        </is>
      </c>
      <c r="E76" s="15" t="inlineStr">
        <is>
          <t>T4</t>
        </is>
      </c>
      <c r="F76" s="15" t="inlineStr">
        <is>
          <t>Hydrant not there</t>
        </is>
      </c>
      <c r="G76" s="15" t="inlineStr">
        <is>
          <t>0718</t>
        </is>
      </c>
      <c r="H76" s="18" t="n"/>
      <c r="I76" s="16" t="n"/>
      <c r="J76" s="16" t="n"/>
      <c r="K76" s="16" t="n"/>
      <c r="L76" s="16" t="n"/>
    </row>
    <row r="77">
      <c r="A77" s="15" t="inlineStr">
        <is>
          <t>P7</t>
        </is>
      </c>
      <c r="B77" s="15" t="n">
        <v>2</v>
      </c>
      <c r="C77" s="15" t="inlineStr">
        <is>
          <t>Survey123</t>
        </is>
      </c>
      <c r="D77" s="15" t="inlineStr">
        <is>
          <t>A</t>
        </is>
      </c>
      <c r="E77" s="15" t="inlineStr">
        <is>
          <t>T5</t>
        </is>
      </c>
      <c r="F77" s="15" t="inlineStr">
        <is>
          <t>No signal (offline)</t>
        </is>
      </c>
      <c r="G77" s="15" t="inlineStr">
        <is>
          <t>3466</t>
        </is>
      </c>
      <c r="H77" s="18" t="n"/>
      <c r="I77" s="16" t="n"/>
      <c r="J77" s="16" t="n"/>
      <c r="K77" s="16" t="n"/>
      <c r="L77" s="16" t="n"/>
    </row>
    <row r="78">
      <c r="A78" s="15" t="inlineStr">
        <is>
          <t>P7</t>
        </is>
      </c>
      <c r="B78" s="15" t="n">
        <v>2</v>
      </c>
      <c r="C78" s="15" t="inlineStr">
        <is>
          <t>Survey123</t>
        </is>
      </c>
      <c r="D78" s="15" t="inlineStr">
        <is>
          <t>A</t>
        </is>
      </c>
      <c r="E78" s="15" t="inlineStr">
        <is>
          <t>T6</t>
        </is>
      </c>
      <c r="F78" s="15" t="inlineStr">
        <is>
          <t>No account (Survey123 only)</t>
        </is>
      </c>
      <c r="G78" s="15" t="inlineStr">
        <is>
          <t>3803</t>
        </is>
      </c>
      <c r="H78" s="18" t="n"/>
      <c r="I78" s="16" t="n"/>
      <c r="J78" s="16" t="n"/>
      <c r="K78" s="16" t="n"/>
      <c r="L78" s="16" t="n"/>
    </row>
    <row r="79">
      <c r="A79" s="15" t="inlineStr">
        <is>
          <t>P8</t>
        </is>
      </c>
      <c r="B79" s="15" t="n">
        <v>1</v>
      </c>
      <c r="C79" s="15" t="inlineStr">
        <is>
          <t>Survey123</t>
        </is>
      </c>
      <c r="D79" s="15" t="inlineStr">
        <is>
          <t>B</t>
        </is>
      </c>
      <c r="E79" s="15" t="inlineStr">
        <is>
          <t>T1</t>
        </is>
      </c>
      <c r="F79" s="15" t="inlineStr">
        <is>
          <t>Routine check</t>
        </is>
      </c>
      <c r="G79" s="15" t="inlineStr">
        <is>
          <t>0353</t>
        </is>
      </c>
      <c r="H79" s="18" t="n"/>
      <c r="I79" s="16" t="n"/>
      <c r="J79" s="16" t="n"/>
      <c r="K79" s="16" t="n"/>
      <c r="L79" s="16" t="n"/>
    </row>
    <row r="80">
      <c r="A80" s="15" t="inlineStr">
        <is>
          <t>P8</t>
        </is>
      </c>
      <c r="B80" s="15" t="n">
        <v>1</v>
      </c>
      <c r="C80" s="15" t="inlineStr">
        <is>
          <t>Survey123</t>
        </is>
      </c>
      <c r="D80" s="15" t="inlineStr">
        <is>
          <t>B</t>
        </is>
      </c>
      <c r="E80" s="15" t="inlineStr">
        <is>
          <t>T2</t>
        </is>
      </c>
      <c r="F80" s="15" t="inlineStr">
        <is>
          <t>Low pressure, missing cap</t>
        </is>
      </c>
      <c r="G80" s="15" t="inlineStr">
        <is>
          <t>0564</t>
        </is>
      </c>
      <c r="H80" s="18" t="n"/>
      <c r="I80" s="16" t="n"/>
      <c r="J80" s="16" t="n"/>
      <c r="K80" s="16" t="n"/>
      <c r="L80" s="16" t="n"/>
    </row>
    <row r="81">
      <c r="A81" s="15" t="inlineStr">
        <is>
          <t>P8</t>
        </is>
      </c>
      <c r="B81" s="15" t="n">
        <v>1</v>
      </c>
      <c r="C81" s="15" t="inlineStr">
        <is>
          <t>Survey123</t>
        </is>
      </c>
      <c r="D81" s="15" t="inlineStr">
        <is>
          <t>B</t>
        </is>
      </c>
      <c r="E81" s="15" t="inlineStr">
        <is>
          <t>T3</t>
        </is>
      </c>
      <c r="F81" s="15" t="inlineStr">
        <is>
          <t>Several problems</t>
        </is>
      </c>
      <c r="G81" s="15" t="inlineStr">
        <is>
          <t>3402</t>
        </is>
      </c>
      <c r="H81" s="18" t="n"/>
      <c r="I81" s="16" t="n"/>
      <c r="J81" s="16" t="n"/>
      <c r="K81" s="16" t="n"/>
      <c r="L81" s="16" t="n"/>
    </row>
    <row r="82">
      <c r="A82" s="15" t="inlineStr">
        <is>
          <t>P8</t>
        </is>
      </c>
      <c r="B82" s="15" t="n">
        <v>1</v>
      </c>
      <c r="C82" s="15" t="inlineStr">
        <is>
          <t>Survey123</t>
        </is>
      </c>
      <c r="D82" s="15" t="inlineStr">
        <is>
          <t>B</t>
        </is>
      </c>
      <c r="E82" s="15" t="inlineStr">
        <is>
          <t>T4</t>
        </is>
      </c>
      <c r="F82" s="15" t="inlineStr">
        <is>
          <t>Hydrant not there</t>
        </is>
      </c>
      <c r="G82" s="15" t="inlineStr">
        <is>
          <t>0570</t>
        </is>
      </c>
      <c r="H82" s="18" t="n"/>
      <c r="I82" s="16" t="n"/>
      <c r="J82" s="16" t="n"/>
      <c r="K82" s="16" t="n"/>
      <c r="L82" s="16" t="n"/>
    </row>
    <row r="83">
      <c r="A83" s="15" t="inlineStr">
        <is>
          <t>P8</t>
        </is>
      </c>
      <c r="B83" s="15" t="n">
        <v>1</v>
      </c>
      <c r="C83" s="15" t="inlineStr">
        <is>
          <t>Survey123</t>
        </is>
      </c>
      <c r="D83" s="15" t="inlineStr">
        <is>
          <t>B</t>
        </is>
      </c>
      <c r="E83" s="15" t="inlineStr">
        <is>
          <t>T5</t>
        </is>
      </c>
      <c r="F83" s="15" t="inlineStr">
        <is>
          <t>No signal (offline)</t>
        </is>
      </c>
      <c r="G83" s="15" t="inlineStr">
        <is>
          <t>3467</t>
        </is>
      </c>
      <c r="H83" s="18" t="n"/>
      <c r="I83" s="16" t="n"/>
      <c r="J83" s="16" t="n"/>
      <c r="K83" s="16" t="n"/>
      <c r="L83" s="16" t="n"/>
    </row>
    <row r="84">
      <c r="A84" s="15" t="inlineStr">
        <is>
          <t>P8</t>
        </is>
      </c>
      <c r="B84" s="15" t="n">
        <v>1</v>
      </c>
      <c r="C84" s="15" t="inlineStr">
        <is>
          <t>Survey123</t>
        </is>
      </c>
      <c r="D84" s="15" t="inlineStr">
        <is>
          <t>B</t>
        </is>
      </c>
      <c r="E84" s="15" t="inlineStr">
        <is>
          <t>T6</t>
        </is>
      </c>
      <c r="F84" s="15" t="inlineStr">
        <is>
          <t>No account (Survey123 only)</t>
        </is>
      </c>
      <c r="G84" s="15" t="inlineStr">
        <is>
          <t>3808</t>
        </is>
      </c>
      <c r="H84" s="18" t="n"/>
      <c r="I84" s="16" t="n"/>
      <c r="J84" s="16" t="n"/>
      <c r="K84" s="16" t="n"/>
      <c r="L84" s="16" t="n"/>
    </row>
    <row r="85">
      <c r="A85" s="15" t="inlineStr">
        <is>
          <t>P8</t>
        </is>
      </c>
      <c r="B85" s="15" t="n">
        <v>2</v>
      </c>
      <c r="C85" s="15" t="inlineStr">
        <is>
          <t>Field Maps</t>
        </is>
      </c>
      <c r="D85" s="15" t="inlineStr">
        <is>
          <t>A</t>
        </is>
      </c>
      <c r="E85" s="15" t="inlineStr">
        <is>
          <t>T1</t>
        </is>
      </c>
      <c r="F85" s="15" t="inlineStr">
        <is>
          <t>Routine check</t>
        </is>
      </c>
      <c r="G85" s="15" t="inlineStr">
        <is>
          <t>0291</t>
        </is>
      </c>
      <c r="H85" s="18" t="n"/>
      <c r="I85" s="16" t="n"/>
      <c r="J85" s="16" t="n"/>
      <c r="K85" s="16" t="n"/>
      <c r="L85" s="16" t="n"/>
    </row>
    <row r="86">
      <c r="A86" s="15" t="inlineStr">
        <is>
          <t>P8</t>
        </is>
      </c>
      <c r="B86" s="15" t="n">
        <v>2</v>
      </c>
      <c r="C86" s="15" t="inlineStr">
        <is>
          <t>Field Maps</t>
        </is>
      </c>
      <c r="D86" s="15" t="inlineStr">
        <is>
          <t>A</t>
        </is>
      </c>
      <c r="E86" s="15" t="inlineStr">
        <is>
          <t>T2</t>
        </is>
      </c>
      <c r="F86" s="15" t="inlineStr">
        <is>
          <t>Low pressure, missing cap</t>
        </is>
      </c>
      <c r="G86" s="15" t="inlineStr">
        <is>
          <t>0490</t>
        </is>
      </c>
      <c r="H86" s="18" t="n"/>
      <c r="I86" s="16" t="n"/>
      <c r="J86" s="16" t="n"/>
      <c r="K86" s="16" t="n"/>
      <c r="L86" s="16" t="n"/>
    </row>
    <row r="87">
      <c r="A87" s="15" t="inlineStr">
        <is>
          <t>P8</t>
        </is>
      </c>
      <c r="B87" s="15" t="n">
        <v>2</v>
      </c>
      <c r="C87" s="15" t="inlineStr">
        <is>
          <t>Field Maps</t>
        </is>
      </c>
      <c r="D87" s="15" t="inlineStr">
        <is>
          <t>A</t>
        </is>
      </c>
      <c r="E87" s="15" t="inlineStr">
        <is>
          <t>T3</t>
        </is>
      </c>
      <c r="F87" s="15" t="inlineStr">
        <is>
          <t>Several problems</t>
        </is>
      </c>
      <c r="G87" s="15" t="inlineStr">
        <is>
          <t>3641</t>
        </is>
      </c>
      <c r="H87" s="18" t="n"/>
      <c r="I87" s="16" t="n"/>
      <c r="J87" s="16" t="n"/>
      <c r="K87" s="16" t="n"/>
      <c r="L87" s="16" t="n"/>
    </row>
    <row r="88">
      <c r="A88" s="15" t="inlineStr">
        <is>
          <t>P8</t>
        </is>
      </c>
      <c r="B88" s="15" t="n">
        <v>2</v>
      </c>
      <c r="C88" s="15" t="inlineStr">
        <is>
          <t>Field Maps</t>
        </is>
      </c>
      <c r="D88" s="15" t="inlineStr">
        <is>
          <t>A</t>
        </is>
      </c>
      <c r="E88" s="15" t="inlineStr">
        <is>
          <t>T4</t>
        </is>
      </c>
      <c r="F88" s="15" t="inlineStr">
        <is>
          <t>Hydrant not there</t>
        </is>
      </c>
      <c r="G88" s="15" t="inlineStr">
        <is>
          <t>0718</t>
        </is>
      </c>
      <c r="H88" s="18" t="n"/>
      <c r="I88" s="16" t="n"/>
      <c r="J88" s="16" t="n"/>
      <c r="K88" s="16" t="n"/>
      <c r="L88" s="16" t="n"/>
    </row>
    <row r="89">
      <c r="A89" s="15" t="inlineStr">
        <is>
          <t>P8</t>
        </is>
      </c>
      <c r="B89" s="15" t="n">
        <v>2</v>
      </c>
      <c r="C89" s="15" t="inlineStr">
        <is>
          <t>Field Maps</t>
        </is>
      </c>
      <c r="D89" s="15" t="inlineStr">
        <is>
          <t>A</t>
        </is>
      </c>
      <c r="E89" s="15" t="inlineStr">
        <is>
          <t>T5</t>
        </is>
      </c>
      <c r="F89" s="15" t="inlineStr">
        <is>
          <t>No signal (offline)</t>
        </is>
      </c>
      <c r="G89" s="15" t="inlineStr">
        <is>
          <t>3466</t>
        </is>
      </c>
      <c r="H89" s="18" t="n"/>
      <c r="I89" s="16" t="n"/>
      <c r="J89" s="16" t="n"/>
      <c r="K89" s="16" t="n"/>
      <c r="L89" s="16" t="n"/>
    </row>
  </sheetData>
  <dataValidations count="4">
    <dataValidation sqref="I2:I89" showDropDown="0" showInputMessage="0" showErrorMessage="0" allowBlank="1" type="list">
      <formula1>"Alone,With help,Failed,Skipped"</formula1>
    </dataValidation>
    <dataValidation sqref="J2:J89" showDropDown="0" showInputMessage="0" showErrorMessage="1" allowBlank="1" error="Enter a whole number from 1 to 7" type="whole" operator="between">
      <formula1>1</formula1>
      <formula2>7</formula2>
    </dataValidation>
    <dataValidation sqref="K2:K89" showDropDown="0" showInputMessage="0" showErrorMessage="0" allowBlank="1" type="list">
      <formula1>"Yes,No,Not needed"</formula1>
    </dataValidation>
    <dataValidation sqref="H2:H89" showDropDown="0" showInputMessage="0" showErrorMessage="0" allowBlank="1" type="decimal" operator="between">
      <formula1>0</formula1>
      <formula2>60</formula2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9" customWidth="1" min="7" max="7"/>
    <col width="60" customWidth="1" min="8" max="8"/>
  </cols>
  <sheetData>
    <row r="1" ht="32" customHeight="1">
      <c r="A1" s="5" t="inlineStr">
        <is>
          <t>Pilot ID</t>
        </is>
      </c>
      <c r="B1" s="5" t="inlineStr">
        <is>
          <t>App</t>
        </is>
      </c>
      <c r="C1" s="5" t="inlineStr">
        <is>
          <t>Q1 Could do it without help</t>
        </is>
      </c>
      <c r="D1" s="5" t="inlineStr">
        <is>
          <t>Q2 Quick enough for a shift</t>
        </is>
      </c>
      <c r="E1" s="5" t="inlineStr">
        <is>
          <t>Q3 Easy one-handed and outdoors</t>
        </is>
      </c>
      <c r="F1" s="5" t="inlineStr">
        <is>
          <t>Q4 Trust it saved correctly</t>
        </is>
      </c>
      <c r="G1" s="5" t="inlineStr">
        <is>
          <t>Average</t>
        </is>
      </c>
      <c r="H1" s="5" t="inlineStr">
        <is>
          <t>Most frustrating part</t>
        </is>
      </c>
    </row>
    <row r="2">
      <c r="A2" s="15" t="inlineStr">
        <is>
          <t>P1</t>
        </is>
      </c>
      <c r="B2" s="15" t="inlineStr">
        <is>
          <t>Field Maps</t>
        </is>
      </c>
      <c r="C2" s="16" t="n"/>
      <c r="D2" s="16" t="n"/>
      <c r="E2" s="16" t="n"/>
      <c r="F2" s="16" t="n"/>
      <c r="G2" s="19">
        <f>IF(COUNT(C2:F2)=0,"",AVERAGE(C2:F2))</f>
        <v/>
      </c>
      <c r="H2" s="16" t="n"/>
    </row>
    <row r="3">
      <c r="A3" s="15" t="inlineStr">
        <is>
          <t>P1</t>
        </is>
      </c>
      <c r="B3" s="15" t="inlineStr">
        <is>
          <t>Survey123</t>
        </is>
      </c>
      <c r="C3" s="16" t="n"/>
      <c r="D3" s="16" t="n"/>
      <c r="E3" s="16" t="n"/>
      <c r="F3" s="16" t="n"/>
      <c r="G3" s="19">
        <f>IF(COUNT(C3:F3)=0,"",AVERAGE(C3:F3))</f>
        <v/>
      </c>
      <c r="H3" s="16" t="n"/>
    </row>
    <row r="4">
      <c r="A4" s="15" t="inlineStr">
        <is>
          <t>P2</t>
        </is>
      </c>
      <c r="B4" s="15" t="inlineStr">
        <is>
          <t>Survey123</t>
        </is>
      </c>
      <c r="C4" s="16" t="n"/>
      <c r="D4" s="16" t="n"/>
      <c r="E4" s="16" t="n"/>
      <c r="F4" s="16" t="n"/>
      <c r="G4" s="19">
        <f>IF(COUNT(C4:F4)=0,"",AVERAGE(C4:F4))</f>
        <v/>
      </c>
      <c r="H4" s="16" t="n"/>
    </row>
    <row r="5">
      <c r="A5" s="15" t="inlineStr">
        <is>
          <t>P2</t>
        </is>
      </c>
      <c r="B5" s="15" t="inlineStr">
        <is>
          <t>Field Maps</t>
        </is>
      </c>
      <c r="C5" s="16" t="n"/>
      <c r="D5" s="16" t="n"/>
      <c r="E5" s="16" t="n"/>
      <c r="F5" s="16" t="n"/>
      <c r="G5" s="19">
        <f>IF(COUNT(C5:F5)=0,"",AVERAGE(C5:F5))</f>
        <v/>
      </c>
      <c r="H5" s="16" t="n"/>
    </row>
    <row r="6">
      <c r="A6" s="15" t="inlineStr">
        <is>
          <t>P3</t>
        </is>
      </c>
      <c r="B6" s="15" t="inlineStr">
        <is>
          <t>Field Maps</t>
        </is>
      </c>
      <c r="C6" s="16" t="n"/>
      <c r="D6" s="16" t="n"/>
      <c r="E6" s="16" t="n"/>
      <c r="F6" s="16" t="n"/>
      <c r="G6" s="19">
        <f>IF(COUNT(C6:F6)=0,"",AVERAGE(C6:F6))</f>
        <v/>
      </c>
      <c r="H6" s="16" t="n"/>
    </row>
    <row r="7">
      <c r="A7" s="15" t="inlineStr">
        <is>
          <t>P3</t>
        </is>
      </c>
      <c r="B7" s="15" t="inlineStr">
        <is>
          <t>Survey123</t>
        </is>
      </c>
      <c r="C7" s="16" t="n"/>
      <c r="D7" s="16" t="n"/>
      <c r="E7" s="16" t="n"/>
      <c r="F7" s="16" t="n"/>
      <c r="G7" s="19">
        <f>IF(COUNT(C7:F7)=0,"",AVERAGE(C7:F7))</f>
        <v/>
      </c>
      <c r="H7" s="16" t="n"/>
    </row>
    <row r="8">
      <c r="A8" s="15" t="inlineStr">
        <is>
          <t>P4</t>
        </is>
      </c>
      <c r="B8" s="15" t="inlineStr">
        <is>
          <t>Survey123</t>
        </is>
      </c>
      <c r="C8" s="16" t="n"/>
      <c r="D8" s="16" t="n"/>
      <c r="E8" s="16" t="n"/>
      <c r="F8" s="16" t="n"/>
      <c r="G8" s="19">
        <f>IF(COUNT(C8:F8)=0,"",AVERAGE(C8:F8))</f>
        <v/>
      </c>
      <c r="H8" s="16" t="n"/>
    </row>
    <row r="9">
      <c r="A9" s="15" t="inlineStr">
        <is>
          <t>P4</t>
        </is>
      </c>
      <c r="B9" s="15" t="inlineStr">
        <is>
          <t>Field Maps</t>
        </is>
      </c>
      <c r="C9" s="16" t="n"/>
      <c r="D9" s="16" t="n"/>
      <c r="E9" s="16" t="n"/>
      <c r="F9" s="16" t="n"/>
      <c r="G9" s="19">
        <f>IF(COUNT(C9:F9)=0,"",AVERAGE(C9:F9))</f>
        <v/>
      </c>
      <c r="H9" s="16" t="n"/>
    </row>
    <row r="10">
      <c r="A10" s="15" t="inlineStr">
        <is>
          <t>P5</t>
        </is>
      </c>
      <c r="B10" s="15" t="inlineStr">
        <is>
          <t>Field Maps</t>
        </is>
      </c>
      <c r="C10" s="16" t="n"/>
      <c r="D10" s="16" t="n"/>
      <c r="E10" s="16" t="n"/>
      <c r="F10" s="16" t="n"/>
      <c r="G10" s="19">
        <f>IF(COUNT(C10:F10)=0,"",AVERAGE(C10:F10))</f>
        <v/>
      </c>
      <c r="H10" s="16" t="n"/>
    </row>
    <row r="11">
      <c r="A11" s="15" t="inlineStr">
        <is>
          <t>P5</t>
        </is>
      </c>
      <c r="B11" s="15" t="inlineStr">
        <is>
          <t>Survey123</t>
        </is>
      </c>
      <c r="C11" s="16" t="n"/>
      <c r="D11" s="16" t="n"/>
      <c r="E11" s="16" t="n"/>
      <c r="F11" s="16" t="n"/>
      <c r="G11" s="19">
        <f>IF(COUNT(C11:F11)=0,"",AVERAGE(C11:F11))</f>
        <v/>
      </c>
      <c r="H11" s="16" t="n"/>
    </row>
    <row r="12">
      <c r="A12" s="15" t="inlineStr">
        <is>
          <t>P6</t>
        </is>
      </c>
      <c r="B12" s="15" t="inlineStr">
        <is>
          <t>Survey123</t>
        </is>
      </c>
      <c r="C12" s="16" t="n"/>
      <c r="D12" s="16" t="n"/>
      <c r="E12" s="16" t="n"/>
      <c r="F12" s="16" t="n"/>
      <c r="G12" s="19">
        <f>IF(COUNT(C12:F12)=0,"",AVERAGE(C12:F12))</f>
        <v/>
      </c>
      <c r="H12" s="16" t="n"/>
    </row>
    <row r="13">
      <c r="A13" s="15" t="inlineStr">
        <is>
          <t>P6</t>
        </is>
      </c>
      <c r="B13" s="15" t="inlineStr">
        <is>
          <t>Field Maps</t>
        </is>
      </c>
      <c r="C13" s="16" t="n"/>
      <c r="D13" s="16" t="n"/>
      <c r="E13" s="16" t="n"/>
      <c r="F13" s="16" t="n"/>
      <c r="G13" s="19">
        <f>IF(COUNT(C13:F13)=0,"",AVERAGE(C13:F13))</f>
        <v/>
      </c>
      <c r="H13" s="16" t="n"/>
    </row>
    <row r="14">
      <c r="A14" s="15" t="inlineStr">
        <is>
          <t>P7</t>
        </is>
      </c>
      <c r="B14" s="15" t="inlineStr">
        <is>
          <t>Field Maps</t>
        </is>
      </c>
      <c r="C14" s="16" t="n"/>
      <c r="D14" s="16" t="n"/>
      <c r="E14" s="16" t="n"/>
      <c r="F14" s="16" t="n"/>
      <c r="G14" s="19">
        <f>IF(COUNT(C14:F14)=0,"",AVERAGE(C14:F14))</f>
        <v/>
      </c>
      <c r="H14" s="16" t="n"/>
    </row>
    <row r="15">
      <c r="A15" s="15" t="inlineStr">
        <is>
          <t>P7</t>
        </is>
      </c>
      <c r="B15" s="15" t="inlineStr">
        <is>
          <t>Survey123</t>
        </is>
      </c>
      <c r="C15" s="16" t="n"/>
      <c r="D15" s="16" t="n"/>
      <c r="E15" s="16" t="n"/>
      <c r="F15" s="16" t="n"/>
      <c r="G15" s="19">
        <f>IF(COUNT(C15:F15)=0,"",AVERAGE(C15:F15))</f>
        <v/>
      </c>
      <c r="H15" s="16" t="n"/>
    </row>
    <row r="16">
      <c r="A16" s="15" t="inlineStr">
        <is>
          <t>P8</t>
        </is>
      </c>
      <c r="B16" s="15" t="inlineStr">
        <is>
          <t>Survey123</t>
        </is>
      </c>
      <c r="C16" s="16" t="n"/>
      <c r="D16" s="16" t="n"/>
      <c r="E16" s="16" t="n"/>
      <c r="F16" s="16" t="n"/>
      <c r="G16" s="19">
        <f>IF(COUNT(C16:F16)=0,"",AVERAGE(C16:F16))</f>
        <v/>
      </c>
      <c r="H16" s="16" t="n"/>
    </row>
    <row r="17">
      <c r="A17" s="15" t="inlineStr">
        <is>
          <t>P8</t>
        </is>
      </c>
      <c r="B17" s="15" t="inlineStr">
        <is>
          <t>Field Maps</t>
        </is>
      </c>
      <c r="C17" s="16" t="n"/>
      <c r="D17" s="16" t="n"/>
      <c r="E17" s="16" t="n"/>
      <c r="F17" s="16" t="n"/>
      <c r="G17" s="19">
        <f>IF(COUNT(C17:F17)=0,"",AVERAGE(C17:F17))</f>
        <v/>
      </c>
      <c r="H17" s="16" t="n"/>
    </row>
  </sheetData>
  <dataValidations count="1">
    <dataValidation sqref="C2:F17" showDropDown="0" showInputMessage="0" showErrorMessage="1" allowBlank="1" error="Enter a whole number from 1 to 5" type="whole" operator="between">
      <formula1>1</formula1>
      <formula2>5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60" customWidth="1" min="3" max="3"/>
    <col width="50" customWidth="1" min="4" max="4"/>
  </cols>
  <sheetData>
    <row r="1" ht="32" customHeight="1">
      <c r="A1" s="5" t="inlineStr">
        <is>
          <t>Pilot ID</t>
        </is>
      </c>
      <c r="B1" s="5" t="inlineStr">
        <is>
          <t>Would pick</t>
        </is>
      </c>
      <c r="C1" s="5" t="inlineStr">
        <is>
          <t>Why</t>
        </is>
      </c>
      <c r="D1" s="5" t="inlineStr">
        <is>
          <t>Anything neither app handled</t>
        </is>
      </c>
    </row>
    <row r="2">
      <c r="A2" s="15" t="inlineStr">
        <is>
          <t>P1</t>
        </is>
      </c>
      <c r="B2" s="16" t="n"/>
      <c r="C2" s="16" t="n"/>
      <c r="D2" s="16" t="n"/>
    </row>
    <row r="3">
      <c r="A3" s="15" t="inlineStr">
        <is>
          <t>P2</t>
        </is>
      </c>
      <c r="B3" s="16" t="n"/>
      <c r="C3" s="16" t="n"/>
      <c r="D3" s="16" t="n"/>
    </row>
    <row r="4">
      <c r="A4" s="15" t="inlineStr">
        <is>
          <t>P3</t>
        </is>
      </c>
      <c r="B4" s="16" t="n"/>
      <c r="C4" s="16" t="n"/>
      <c r="D4" s="16" t="n"/>
    </row>
    <row r="5">
      <c r="A5" s="15" t="inlineStr">
        <is>
          <t>P4</t>
        </is>
      </c>
      <c r="B5" s="16" t="n"/>
      <c r="C5" s="16" t="n"/>
      <c r="D5" s="16" t="n"/>
    </row>
    <row r="6">
      <c r="A6" s="15" t="inlineStr">
        <is>
          <t>P5</t>
        </is>
      </c>
      <c r="B6" s="16" t="n"/>
      <c r="C6" s="16" t="n"/>
      <c r="D6" s="16" t="n"/>
    </row>
    <row r="7">
      <c r="A7" s="15" t="inlineStr">
        <is>
          <t>P6</t>
        </is>
      </c>
      <c r="B7" s="16" t="n"/>
      <c r="C7" s="16" t="n"/>
      <c r="D7" s="16" t="n"/>
    </row>
    <row r="8">
      <c r="A8" s="15" t="inlineStr">
        <is>
          <t>P7</t>
        </is>
      </c>
      <c r="B8" s="16" t="n"/>
      <c r="C8" s="16" t="n"/>
      <c r="D8" s="16" t="n"/>
    </row>
    <row r="9">
      <c r="A9" s="15" t="inlineStr">
        <is>
          <t>P8</t>
        </is>
      </c>
      <c r="B9" s="16" t="n"/>
      <c r="C9" s="16" t="n"/>
      <c r="D9" s="16" t="n"/>
    </row>
  </sheetData>
  <dataValidations count="1">
    <dataValidation sqref="B2:B9" showDropDown="0" showInputMessage="0" showErrorMessage="0" allowBlank="1" type="list">
      <formula1>"Field Maps,Survey123,No preference"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6" customWidth="1" min="3" max="3"/>
    <col width="12" customWidth="1" min="4" max="4"/>
    <col width="8" customWidth="1" min="5" max="5"/>
    <col width="13" customWidth="1" min="6" max="6"/>
    <col width="11" customWidth="1" min="7" max="7"/>
    <col width="60" customWidth="1" min="8" max="8"/>
    <col width="10" customWidth="1" min="9" max="9"/>
    <col width="40" customWidth="1" min="10" max="10"/>
  </cols>
  <sheetData>
    <row r="1" ht="32" customHeight="1">
      <c r="A1" s="5" t="inlineStr">
        <is>
          <t>PilotID</t>
        </is>
      </c>
      <c r="B1" s="5" t="inlineStr">
        <is>
          <t>Task</t>
        </is>
      </c>
      <c r="C1" s="5" t="inlineStr">
        <is>
          <t>Set</t>
        </is>
      </c>
      <c r="D1" s="5" t="inlineStr">
        <is>
          <t>App</t>
        </is>
      </c>
      <c r="E1" s="5" t="inlineStr">
        <is>
          <t>GISID</t>
        </is>
      </c>
      <c r="F1" s="5" t="inlineStr">
        <is>
          <t>Linked</t>
        </is>
      </c>
      <c r="G1" s="5" t="inlineStr">
        <is>
          <t>WrongCount</t>
        </is>
      </c>
      <c r="H1" s="5" t="inlineStr">
        <is>
          <t>WrongFields</t>
        </is>
      </c>
      <c r="I1" s="5" t="inlineStr">
        <is>
          <t>ObjectID</t>
        </is>
      </c>
      <c r="J1" s="5" t="inlineStr">
        <is>
          <t>Note</t>
        </is>
      </c>
    </row>
    <row r="2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 ht="32" customHeight="1">
      <c r="A1" s="5" t="inlineStr">
        <is>
          <t>Criterion</t>
        </is>
      </c>
      <c r="B1" s="5" t="inlineStr">
        <is>
          <t>What a 5 looks like</t>
        </is>
      </c>
      <c r="C1" s="5" t="inlineStr">
        <is>
          <t>Weight</t>
        </is>
      </c>
      <c r="D1" s="5" t="inlineStr">
        <is>
          <t>Field Maps (1-5)</t>
        </is>
      </c>
      <c r="E1" s="5" t="inlineStr">
        <is>
          <t>Survey123 (1-5)</t>
        </is>
      </c>
      <c r="F1" s="5" t="inlineStr">
        <is>
          <t>Field Maps weighted</t>
        </is>
      </c>
      <c r="G1" s="5" t="inlineStr">
        <is>
          <t>Survey123 weighted</t>
        </is>
      </c>
      <c r="H1" s="5" t="inlineStr">
        <is>
          <t>Notes</t>
        </is>
      </c>
    </row>
    <row r="2">
      <c r="A2" s="15" t="inlineStr">
        <is>
          <t>Crews without accounts can inspect</t>
        </is>
      </c>
      <c r="B2" s="15" t="inlineStr">
        <is>
          <t>Any crew member can submit, no sign-in or account request needed</t>
        </is>
      </c>
      <c r="C2" s="16" t="n">
        <v>20</v>
      </c>
      <c r="D2" s="16" t="n"/>
      <c r="E2" s="16" t="n"/>
      <c r="F2" s="15">
        <f>IF(D2="","",C2*D2)</f>
        <v/>
      </c>
      <c r="G2" s="15">
        <f>IF(E2="","",C2*E2)</f>
        <v/>
      </c>
      <c r="H2" s="16" t="n"/>
    </row>
    <row r="3">
      <c r="A3" s="15" t="inlineStr">
        <is>
          <t>Account and licensing cost</t>
        </is>
      </c>
      <c r="B3" s="15" t="inlineStr">
        <is>
          <t>No added licenses for 44 engine companies</t>
        </is>
      </c>
      <c r="C3" s="16" t="n">
        <v>15</v>
      </c>
      <c r="D3" s="16" t="n"/>
      <c r="E3" s="16" t="n"/>
      <c r="F3" s="15">
        <f>IF(D3="","",C3*D3)</f>
        <v/>
      </c>
      <c r="G3" s="15">
        <f>IF(E3="","",C3*E3)</f>
        <v/>
      </c>
      <c r="H3" s="16" t="n"/>
    </row>
    <row r="4">
      <c r="A4" s="15" t="inlineStr">
        <is>
          <t>Inspections tied to the right hydrant</t>
        </is>
      </c>
      <c r="B4" s="15" t="inlineStr">
        <is>
          <t>Every record lands under its hydrant without cleanup</t>
        </is>
      </c>
      <c r="C4" s="16" t="n">
        <v>20</v>
      </c>
      <c r="D4" s="16" t="n"/>
      <c r="E4" s="16" t="n"/>
      <c r="F4" s="15">
        <f>IF(D4="","",C4*D4)</f>
        <v/>
      </c>
      <c r="G4" s="15">
        <f>IF(E4="","",C4*E4)</f>
        <v/>
      </c>
      <c r="H4" s="16" t="n"/>
    </row>
    <row r="5">
      <c r="A5" s="15" t="inlineStr">
        <is>
          <t>Offline</t>
        </is>
      </c>
      <c r="B5" s="15" t="inlineStr">
        <is>
          <t>Works with no signal, map included, syncs without fuss</t>
        </is>
      </c>
      <c r="C5" s="16" t="n">
        <v>15</v>
      </c>
      <c r="D5" s="16" t="n"/>
      <c r="E5" s="16" t="n"/>
      <c r="F5" s="15">
        <f>IF(D5="","",C5*D5)</f>
        <v/>
      </c>
      <c r="G5" s="15">
        <f>IF(E5="","",C5*E5)</f>
        <v/>
      </c>
      <c r="H5" s="16" t="n"/>
    </row>
    <row r="6">
      <c r="A6" s="15" t="inlineStr">
        <is>
          <t>Upkeep</t>
        </is>
      </c>
      <c r="B6" s="15" t="inlineStr">
        <is>
          <t>Form and inspector list are quick to change and roll out</t>
        </is>
      </c>
      <c r="C6" s="16" t="n">
        <v>10</v>
      </c>
      <c r="D6" s="16" t="n"/>
      <c r="E6" s="16" t="n"/>
      <c r="F6" s="15">
        <f>IF(D6="","",C6*D6)</f>
        <v/>
      </c>
      <c r="G6" s="15">
        <f>IF(E6="","",C6*E6)</f>
        <v/>
      </c>
      <c r="H6" s="16" t="n"/>
    </row>
    <row r="7">
      <c r="A7" s="15" t="inlineStr">
        <is>
          <t>Dashboard and annual report</t>
        </is>
      </c>
      <c r="B7" s="15" t="inlineStr">
        <is>
          <t>Dashboard and FY report come straight from the data</t>
        </is>
      </c>
      <c r="C7" s="16" t="n">
        <v>10</v>
      </c>
      <c r="D7" s="16" t="n"/>
      <c r="E7" s="16" t="n"/>
      <c r="F7" s="15">
        <f>IF(D7="","",C7*D7)</f>
        <v/>
      </c>
      <c r="G7" s="15">
        <f>IF(E7="","",C7*E7)</f>
        <v/>
      </c>
      <c r="H7" s="16" t="n"/>
    </row>
    <row r="8">
      <c r="A8" s="15" t="inlineStr">
        <is>
          <t>Later Maximo link (FME Flow)</t>
        </is>
      </c>
      <c r="B8" s="15" t="inlineStr">
        <is>
          <t>Follow-up flags can become work requests with no rework</t>
        </is>
      </c>
      <c r="C8" s="16" t="n">
        <v>5</v>
      </c>
      <c r="D8" s="16" t="n"/>
      <c r="E8" s="16" t="n"/>
      <c r="F8" s="15">
        <f>IF(D8="","",C8*D8)</f>
        <v/>
      </c>
      <c r="G8" s="15">
        <f>IF(E8="","",C8*E8)</f>
        <v/>
      </c>
      <c r="H8" s="16" t="n"/>
    </row>
    <row r="9">
      <c r="A9" s="15" t="inlineStr">
        <is>
          <t>Security and sharing</t>
        </is>
      </c>
      <c r="B9" s="15" t="inlineStr">
        <is>
          <t>Fits SFPUC portal policy with no exceptions</t>
        </is>
      </c>
      <c r="C9" s="16" t="n">
        <v>5</v>
      </c>
      <c r="D9" s="16" t="n"/>
      <c r="E9" s="16" t="n"/>
      <c r="F9" s="15">
        <f>IF(D9="","",C9*D9)</f>
        <v/>
      </c>
      <c r="G9" s="15">
        <f>IF(E9="","",C9*E9)</f>
        <v/>
      </c>
      <c r="H9" s="16" t="n"/>
    </row>
    <row r="10">
      <c r="A10" s="20" t="inlineStr">
        <is>
          <t>Total</t>
        </is>
      </c>
      <c r="B10" s="20" t="n"/>
      <c r="C10" s="21">
        <f>SUM(C2:C9)</f>
        <v/>
      </c>
      <c r="D10" s="21" t="n"/>
      <c r="E10" s="21" t="n"/>
      <c r="F10" s="20">
        <f>SUM(F2:F9)</f>
        <v/>
      </c>
      <c r="G10" s="20">
        <f>SUM(G2:G9)</f>
        <v/>
      </c>
      <c r="H10" s="21" t="n"/>
    </row>
  </sheetData>
  <dataValidations count="1">
    <dataValidation sqref="D2:E9" showDropDown="0" showInputMessage="0" showErrorMessage="1" allowBlank="1" error="Enter a whole number from 1 to 5" type="whole" operator="between">
      <formula1>1</formula1>
      <formula2>5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14" customWidth="1" min="5" max="5"/>
    <col width="9" customWidth="1" min="6" max="6"/>
    <col width="8" customWidth="1" min="7" max="7"/>
    <col width="70" customWidth="1" min="8" max="8"/>
  </cols>
  <sheetData>
    <row r="1">
      <c r="A1" s="22" t="inlineStr">
        <is>
          <t>Observer sheet   Pilot ID: ______   Date: ________   App: ______________   Set: ___</t>
        </is>
      </c>
    </row>
    <row r="3" ht="32" customHeight="1">
      <c r="A3" s="5" t="inlineStr">
        <is>
          <t>Task</t>
        </is>
      </c>
      <c r="B3" s="5" t="inlineStr">
        <is>
          <t>Start</t>
        </is>
      </c>
      <c r="C3" s="5" t="inlineStr">
        <is>
          <t>Stop</t>
        </is>
      </c>
      <c r="D3" s="5" t="inlineStr">
        <is>
          <t>Minutes</t>
        </is>
      </c>
      <c r="E3" s="5" t="inlineStr">
        <is>
          <t>Alone / Help / Failed</t>
        </is>
      </c>
      <c r="F3" s="5" t="inlineStr">
        <is>
          <t>Ease 1-7</t>
        </is>
      </c>
      <c r="G3" s="5" t="inlineStr">
        <is>
          <t>Photo</t>
        </is>
      </c>
      <c r="H3" s="5" t="inlineStr">
        <is>
          <t>Where they got stuck, what they said</t>
        </is>
      </c>
    </row>
    <row r="4" ht="60" customHeight="1">
      <c r="A4" s="15" t="inlineStr">
        <is>
          <t>T1</t>
        </is>
      </c>
      <c r="B4" s="16" t="n"/>
      <c r="C4" s="16" t="n"/>
      <c r="D4" s="16" t="n"/>
      <c r="E4" s="16" t="n"/>
      <c r="F4" s="16" t="n"/>
      <c r="G4" s="16" t="n"/>
      <c r="H4" s="16" t="n"/>
    </row>
    <row r="5" ht="60" customHeight="1">
      <c r="A5" s="15" t="inlineStr">
        <is>
          <t>T2</t>
        </is>
      </c>
      <c r="B5" s="16" t="n"/>
      <c r="C5" s="16" t="n"/>
      <c r="D5" s="16" t="n"/>
      <c r="E5" s="16" t="n"/>
      <c r="F5" s="16" t="n"/>
      <c r="G5" s="16" t="n"/>
      <c r="H5" s="16" t="n"/>
    </row>
    <row r="6" ht="60" customHeight="1">
      <c r="A6" s="15" t="inlineStr">
        <is>
          <t>T3</t>
        </is>
      </c>
      <c r="B6" s="16" t="n"/>
      <c r="C6" s="16" t="n"/>
      <c r="D6" s="16" t="n"/>
      <c r="E6" s="16" t="n"/>
      <c r="F6" s="16" t="n"/>
      <c r="G6" s="16" t="n"/>
      <c r="H6" s="16" t="n"/>
    </row>
    <row r="7" ht="60" customHeight="1">
      <c r="A7" s="15" t="inlineStr">
        <is>
          <t>T4</t>
        </is>
      </c>
      <c r="B7" s="16" t="n"/>
      <c r="C7" s="16" t="n"/>
      <c r="D7" s="16" t="n"/>
      <c r="E7" s="16" t="n"/>
      <c r="F7" s="16" t="n"/>
      <c r="G7" s="16" t="n"/>
      <c r="H7" s="16" t="n"/>
    </row>
    <row r="8" ht="60" customHeight="1">
      <c r="A8" s="15" t="inlineStr">
        <is>
          <t>T5</t>
        </is>
      </c>
      <c r="B8" s="16" t="n"/>
      <c r="C8" s="16" t="n"/>
      <c r="D8" s="16" t="n"/>
      <c r="E8" s="16" t="n"/>
      <c r="F8" s="16" t="n"/>
      <c r="G8" s="16" t="n"/>
      <c r="H8" s="16" t="n"/>
    </row>
    <row r="9" ht="60" customHeight="1">
      <c r="A9" s="15" t="inlineStr">
        <is>
          <t>T6 (S123)</t>
        </is>
      </c>
      <c r="B9" s="16" t="n"/>
      <c r="C9" s="16" t="n"/>
      <c r="D9" s="16" t="n"/>
      <c r="E9" s="16" t="n"/>
      <c r="F9" s="16" t="n"/>
      <c r="G9" s="16" t="n"/>
      <c r="H9" s="16" t="n"/>
    </row>
    <row r="11">
      <c r="A11" s="23" t="inlineStr">
        <is>
          <t>After-app (1-5):  Q1 without help ___   Q2 quick enough ___   Q3 one-handed/outdoors ___   Q4 trust it saved ___</t>
        </is>
      </c>
    </row>
    <row r="13">
      <c r="A13" s="23" t="inlineStr">
        <is>
          <t>Most frustrating part: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 ht="32" customHeight="1">
      <c r="A1" s="5" t="inlineStr">
        <is>
          <t>Task</t>
        </is>
      </c>
      <c r="B1" s="5" t="inlineStr">
        <is>
          <t>Set</t>
        </is>
      </c>
      <c r="C1" s="5" t="inlineStr">
        <is>
          <t>GISID</t>
        </is>
      </c>
      <c r="D1" s="5" t="inlineStr">
        <is>
          <t>FoundAtLoc</t>
        </is>
      </c>
      <c r="E1" s="5" t="inlineStr">
        <is>
          <t>Operable</t>
        </is>
      </c>
      <c r="F1" s="5" t="inlineStr">
        <is>
          <t>Corrosion</t>
        </is>
      </c>
      <c r="G1" s="5" t="inlineStr">
        <is>
          <t>Gauge</t>
        </is>
      </c>
      <c r="H1" s="5" t="inlineStr">
        <is>
          <t>Spindle</t>
        </is>
      </c>
      <c r="I1" s="5" t="inlineStr">
        <is>
          <t>LowPressure</t>
        </is>
      </c>
      <c r="J1" s="5" t="inlineStr">
        <is>
          <t>CapsMissing</t>
        </is>
      </c>
      <c r="K1" s="5" t="inlineStr">
        <is>
          <t>ShutoffValve</t>
        </is>
      </c>
      <c r="L1" s="5" t="inlineStr">
        <is>
          <t>Obstructed</t>
        </is>
      </c>
      <c r="M1" s="5" t="inlineStr">
        <is>
          <t>MissSerial</t>
        </is>
      </c>
      <c r="N1" s="5" t="inlineStr">
        <is>
          <t>MissSpindle</t>
        </is>
      </c>
      <c r="O1" s="5" t="inlineStr">
        <is>
          <t>MissMainSize</t>
        </is>
      </c>
      <c r="P1" s="5" t="inlineStr">
        <is>
          <t>MissShutoffDist</t>
        </is>
      </c>
      <c r="Q1" s="5" t="inlineStr">
        <is>
          <t>DmgThreads</t>
        </is>
      </c>
      <c r="R1" s="5" t="inlineStr">
        <is>
          <t>StrippedSpindle</t>
        </is>
      </c>
      <c r="S1" s="5" t="inlineStr">
        <is>
          <t>Leak</t>
        </is>
      </c>
      <c r="T1" s="5" t="inlineStr">
        <is>
          <t>PaintedOver</t>
        </is>
      </c>
      <c r="U1" s="5" t="inlineStr">
        <is>
          <t>DmgCap</t>
        </is>
      </c>
      <c r="V1" s="5" t="inlineStr">
        <is>
          <t>HardToOperate</t>
        </is>
      </c>
      <c r="W1" s="5" t="inlineStr">
        <is>
          <t>NeedsFollowup</t>
        </is>
      </c>
      <c r="X1" s="5" t="inlineStr">
        <is>
          <t>MinPhotos</t>
        </is>
      </c>
    </row>
    <row r="2">
      <c r="A2" s="15" t="inlineStr">
        <is>
          <t>T1</t>
        </is>
      </c>
      <c r="B2" s="15" t="inlineStr">
        <is>
          <t>A</t>
        </is>
      </c>
      <c r="C2" s="15" t="inlineStr">
        <is>
          <t>0291</t>
        </is>
      </c>
      <c r="D2" s="15" t="inlineStr">
        <is>
          <t>Yes</t>
        </is>
      </c>
      <c r="E2" s="15" t="inlineStr">
        <is>
          <t>Yes</t>
        </is>
      </c>
      <c r="F2" s="15" t="inlineStr">
        <is>
          <t>No</t>
        </is>
      </c>
      <c r="G2" s="15" t="n">
        <v>70</v>
      </c>
      <c r="H2" s="15" t="n">
        <v>62</v>
      </c>
      <c r="I2" s="15" t="inlineStr">
        <is>
          <t>No</t>
        </is>
      </c>
      <c r="J2" s="15" t="n">
        <v>0</v>
      </c>
      <c r="K2" s="15" t="inlineStr">
        <is>
          <t>OK</t>
        </is>
      </c>
      <c r="L2" s="15" t="inlineStr">
        <is>
          <t>No</t>
        </is>
      </c>
      <c r="M2" s="15" t="inlineStr">
        <is>
          <t>No</t>
        </is>
      </c>
      <c r="N2" s="15" t="inlineStr">
        <is>
          <t>No</t>
        </is>
      </c>
      <c r="O2" s="15" t="inlineStr">
        <is>
          <t>No</t>
        </is>
      </c>
      <c r="P2" s="15" t="inlineStr">
        <is>
          <t>No</t>
        </is>
      </c>
      <c r="Q2" s="15" t="inlineStr">
        <is>
          <t>No</t>
        </is>
      </c>
      <c r="R2" s="15" t="inlineStr">
        <is>
          <t>No</t>
        </is>
      </c>
      <c r="S2" s="15" t="inlineStr">
        <is>
          <t>No</t>
        </is>
      </c>
      <c r="T2" s="15" t="inlineStr">
        <is>
          <t>No</t>
        </is>
      </c>
      <c r="U2" s="15" t="inlineStr">
        <is>
          <t>No</t>
        </is>
      </c>
      <c r="V2" s="15" t="inlineStr">
        <is>
          <t>No</t>
        </is>
      </c>
      <c r="W2" s="15" t="inlineStr">
        <is>
          <t>No</t>
        </is>
      </c>
      <c r="X2" s="15" t="n">
        <v>0</v>
      </c>
    </row>
    <row r="3">
      <c r="A3" s="15" t="inlineStr">
        <is>
          <t>T1</t>
        </is>
      </c>
      <c r="B3" s="15" t="inlineStr">
        <is>
          <t>B</t>
        </is>
      </c>
      <c r="C3" s="15" t="inlineStr">
        <is>
          <t>0353</t>
        </is>
      </c>
      <c r="D3" s="15" t="inlineStr">
        <is>
          <t>Yes</t>
        </is>
      </c>
      <c r="E3" s="15" t="inlineStr">
        <is>
          <t>Yes</t>
        </is>
      </c>
      <c r="F3" s="15" t="inlineStr">
        <is>
          <t>No</t>
        </is>
      </c>
      <c r="G3" s="15" t="n">
        <v>68</v>
      </c>
      <c r="H3" s="15" t="n">
        <v>60</v>
      </c>
      <c r="I3" s="15" t="inlineStr">
        <is>
          <t>No</t>
        </is>
      </c>
      <c r="J3" s="15" t="n">
        <v>0</v>
      </c>
      <c r="K3" s="15" t="inlineStr">
        <is>
          <t>OK</t>
        </is>
      </c>
      <c r="L3" s="15" t="inlineStr">
        <is>
          <t>No</t>
        </is>
      </c>
      <c r="M3" s="15" t="inlineStr">
        <is>
          <t>No</t>
        </is>
      </c>
      <c r="N3" s="15" t="inlineStr">
        <is>
          <t>No</t>
        </is>
      </c>
      <c r="O3" s="15" t="inlineStr">
        <is>
          <t>No</t>
        </is>
      </c>
      <c r="P3" s="15" t="inlineStr">
        <is>
          <t>No</t>
        </is>
      </c>
      <c r="Q3" s="15" t="inlineStr">
        <is>
          <t>No</t>
        </is>
      </c>
      <c r="R3" s="15" t="inlineStr">
        <is>
          <t>No</t>
        </is>
      </c>
      <c r="S3" s="15" t="inlineStr">
        <is>
          <t>No</t>
        </is>
      </c>
      <c r="T3" s="15" t="inlineStr">
        <is>
          <t>No</t>
        </is>
      </c>
      <c r="U3" s="15" t="inlineStr">
        <is>
          <t>No</t>
        </is>
      </c>
      <c r="V3" s="15" t="inlineStr">
        <is>
          <t>No</t>
        </is>
      </c>
      <c r="W3" s="15" t="inlineStr">
        <is>
          <t>No</t>
        </is>
      </c>
      <c r="X3" s="15" t="n">
        <v>0</v>
      </c>
    </row>
    <row r="4">
      <c r="A4" s="15" t="inlineStr">
        <is>
          <t>T2</t>
        </is>
      </c>
      <c r="B4" s="15" t="inlineStr">
        <is>
          <t>A</t>
        </is>
      </c>
      <c r="C4" s="15" t="inlineStr">
        <is>
          <t>0490</t>
        </is>
      </c>
      <c r="D4" s="15" t="inlineStr">
        <is>
          <t>Yes</t>
        </is>
      </c>
      <c r="E4" s="15" t="inlineStr">
        <is>
          <t>Yes</t>
        </is>
      </c>
      <c r="F4" s="15" t="inlineStr">
        <is>
          <t>Yes</t>
        </is>
      </c>
      <c r="G4" s="15" t="n">
        <v>40</v>
      </c>
      <c r="H4" s="15" t="n">
        <v>55</v>
      </c>
      <c r="I4" s="15" t="inlineStr">
        <is>
          <t>Yes</t>
        </is>
      </c>
      <c r="J4" s="15" t="n">
        <v>1</v>
      </c>
      <c r="K4" s="15" t="inlineStr">
        <is>
          <t>OK</t>
        </is>
      </c>
      <c r="L4" s="15" t="inlineStr">
        <is>
          <t>No</t>
        </is>
      </c>
      <c r="M4" s="15" t="inlineStr">
        <is>
          <t>No</t>
        </is>
      </c>
      <c r="N4" s="15" t="inlineStr">
        <is>
          <t>No</t>
        </is>
      </c>
      <c r="O4" s="15" t="inlineStr">
        <is>
          <t>No</t>
        </is>
      </c>
      <c r="P4" s="15" t="inlineStr">
        <is>
          <t>No</t>
        </is>
      </c>
      <c r="Q4" s="15" t="inlineStr">
        <is>
          <t>No</t>
        </is>
      </c>
      <c r="R4" s="15" t="inlineStr">
        <is>
          <t>No</t>
        </is>
      </c>
      <c r="S4" s="15" t="inlineStr">
        <is>
          <t>No</t>
        </is>
      </c>
      <c r="T4" s="15" t="inlineStr">
        <is>
          <t>No</t>
        </is>
      </c>
      <c r="U4" s="15" t="inlineStr">
        <is>
          <t>No</t>
        </is>
      </c>
      <c r="V4" s="15" t="inlineStr">
        <is>
          <t>No</t>
        </is>
      </c>
      <c r="W4" s="15" t="inlineStr">
        <is>
          <t>Yes</t>
        </is>
      </c>
      <c r="X4" s="15" t="n">
        <v>1</v>
      </c>
    </row>
    <row r="5">
      <c r="A5" s="15" t="inlineStr">
        <is>
          <t>T2</t>
        </is>
      </c>
      <c r="B5" s="15" t="inlineStr">
        <is>
          <t>B</t>
        </is>
      </c>
      <c r="C5" s="15" t="inlineStr">
        <is>
          <t>0564</t>
        </is>
      </c>
      <c r="D5" s="15" t="inlineStr">
        <is>
          <t>Yes</t>
        </is>
      </c>
      <c r="E5" s="15" t="inlineStr">
        <is>
          <t>Yes</t>
        </is>
      </c>
      <c r="F5" s="15" t="inlineStr">
        <is>
          <t>Yes</t>
        </is>
      </c>
      <c r="G5" s="15" t="n">
        <v>35</v>
      </c>
      <c r="H5" s="15" t="n">
        <v>50</v>
      </c>
      <c r="I5" s="15" t="inlineStr">
        <is>
          <t>Yes</t>
        </is>
      </c>
      <c r="J5" s="15" t="n">
        <v>1</v>
      </c>
      <c r="K5" s="15" t="inlineStr">
        <is>
          <t>OK</t>
        </is>
      </c>
      <c r="L5" s="15" t="inlineStr">
        <is>
          <t>No</t>
        </is>
      </c>
      <c r="M5" s="15" t="inlineStr">
        <is>
          <t>No</t>
        </is>
      </c>
      <c r="N5" s="15" t="inlineStr">
        <is>
          <t>No</t>
        </is>
      </c>
      <c r="O5" s="15" t="inlineStr">
        <is>
          <t>No</t>
        </is>
      </c>
      <c r="P5" s="15" t="inlineStr">
        <is>
          <t>No</t>
        </is>
      </c>
      <c r="Q5" s="15" t="inlineStr">
        <is>
          <t>No</t>
        </is>
      </c>
      <c r="R5" s="15" t="inlineStr">
        <is>
          <t>No</t>
        </is>
      </c>
      <c r="S5" s="15" t="inlineStr">
        <is>
          <t>No</t>
        </is>
      </c>
      <c r="T5" s="15" t="inlineStr">
        <is>
          <t>No</t>
        </is>
      </c>
      <c r="U5" s="15" t="inlineStr">
        <is>
          <t>No</t>
        </is>
      </c>
      <c r="V5" s="15" t="inlineStr">
        <is>
          <t>No</t>
        </is>
      </c>
      <c r="W5" s="15" t="inlineStr">
        <is>
          <t>Yes</t>
        </is>
      </c>
      <c r="X5" s="15" t="n">
        <v>1</v>
      </c>
    </row>
    <row r="6">
      <c r="A6" s="15" t="inlineStr">
        <is>
          <t>T3</t>
        </is>
      </c>
      <c r="B6" s="15" t="inlineStr">
        <is>
          <t>A</t>
        </is>
      </c>
      <c r="C6" s="15" t="inlineStr">
        <is>
          <t>3641</t>
        </is>
      </c>
      <c r="D6" s="15" t="inlineStr">
        <is>
          <t>Yes</t>
        </is>
      </c>
      <c r="E6" s="15" t="inlineStr">
        <is>
          <t>Limited</t>
        </is>
      </c>
      <c r="F6" s="15" t="inlineStr">
        <is>
          <t>No</t>
        </is>
      </c>
      <c r="G6" s="15" t="n">
        <v>90</v>
      </c>
      <c r="H6" s="15" t="n">
        <v>88</v>
      </c>
      <c r="I6" s="15" t="inlineStr">
        <is>
          <t>No</t>
        </is>
      </c>
      <c r="J6" s="15" t="n">
        <v>0</v>
      </c>
      <c r="K6" s="15" t="inlineStr">
        <is>
          <t>Buried</t>
        </is>
      </c>
      <c r="L6" s="15" t="inlineStr">
        <is>
          <t>No</t>
        </is>
      </c>
      <c r="M6" s="15" t="inlineStr">
        <is>
          <t>No</t>
        </is>
      </c>
      <c r="N6" s="15" t="inlineStr">
        <is>
          <t>No</t>
        </is>
      </c>
      <c r="O6" s="15" t="inlineStr">
        <is>
          <t>Yes</t>
        </is>
      </c>
      <c r="P6" s="15" t="inlineStr">
        <is>
          <t>No</t>
        </is>
      </c>
      <c r="Q6" s="15" t="inlineStr">
        <is>
          <t>No</t>
        </is>
      </c>
      <c r="R6" s="15" t="inlineStr">
        <is>
          <t>No</t>
        </is>
      </c>
      <c r="S6" s="15" t="inlineStr">
        <is>
          <t>Yes</t>
        </is>
      </c>
      <c r="T6" s="15" t="inlineStr">
        <is>
          <t>No</t>
        </is>
      </c>
      <c r="U6" s="15" t="inlineStr">
        <is>
          <t>No</t>
        </is>
      </c>
      <c r="V6" s="15" t="inlineStr">
        <is>
          <t>Yes</t>
        </is>
      </c>
      <c r="W6" s="15" t="inlineStr">
        <is>
          <t>Yes</t>
        </is>
      </c>
      <c r="X6" s="15" t="n">
        <v>1</v>
      </c>
    </row>
    <row r="7">
      <c r="A7" s="15" t="inlineStr">
        <is>
          <t>T3</t>
        </is>
      </c>
      <c r="B7" s="15" t="inlineStr">
        <is>
          <t>B</t>
        </is>
      </c>
      <c r="C7" s="15" t="inlineStr">
        <is>
          <t>3402</t>
        </is>
      </c>
      <c r="D7" s="15" t="inlineStr">
        <is>
          <t>Yes</t>
        </is>
      </c>
      <c r="E7" s="15" t="inlineStr">
        <is>
          <t>Limited</t>
        </is>
      </c>
      <c r="F7" s="15" t="inlineStr">
        <is>
          <t>No</t>
        </is>
      </c>
      <c r="G7" s="15" t="n">
        <v>70</v>
      </c>
      <c r="H7" s="15" t="n">
        <v>65</v>
      </c>
      <c r="I7" s="15" t="inlineStr">
        <is>
          <t>No</t>
        </is>
      </c>
      <c r="J7" s="15" t="n">
        <v>0</v>
      </c>
      <c r="K7" s="15" t="inlineStr">
        <is>
          <t>Buried</t>
        </is>
      </c>
      <c r="L7" s="15" t="inlineStr">
        <is>
          <t>No</t>
        </is>
      </c>
      <c r="M7" s="15" t="inlineStr">
        <is>
          <t>No</t>
        </is>
      </c>
      <c r="N7" s="15" t="inlineStr">
        <is>
          <t>No</t>
        </is>
      </c>
      <c r="O7" s="15" t="inlineStr">
        <is>
          <t>Yes</t>
        </is>
      </c>
      <c r="P7" s="15" t="inlineStr">
        <is>
          <t>No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Yes</t>
        </is>
      </c>
      <c r="T7" s="15" t="inlineStr">
        <is>
          <t>No</t>
        </is>
      </c>
      <c r="U7" s="15" t="inlineStr">
        <is>
          <t>No</t>
        </is>
      </c>
      <c r="V7" s="15" t="inlineStr">
        <is>
          <t>Yes</t>
        </is>
      </c>
      <c r="W7" s="15" t="inlineStr">
        <is>
          <t>Yes</t>
        </is>
      </c>
      <c r="X7" s="15" t="n">
        <v>1</v>
      </c>
    </row>
    <row r="8">
      <c r="A8" s="15" t="inlineStr">
        <is>
          <t>T4</t>
        </is>
      </c>
      <c r="B8" s="15" t="inlineStr">
        <is>
          <t>A</t>
        </is>
      </c>
      <c r="C8" s="15" t="inlineStr">
        <is>
          <t>0718</t>
        </is>
      </c>
      <c r="D8" s="15" t="inlineStr">
        <is>
          <t>No</t>
        </is>
      </c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>
        <is>
          <t>Yes</t>
        </is>
      </c>
      <c r="X8" s="15" t="n">
        <v>1</v>
      </c>
    </row>
    <row r="9">
      <c r="A9" s="15" t="inlineStr">
        <is>
          <t>T4</t>
        </is>
      </c>
      <c r="B9" s="15" t="inlineStr">
        <is>
          <t>B</t>
        </is>
      </c>
      <c r="C9" s="15" t="inlineStr">
        <is>
          <t>0570</t>
        </is>
      </c>
      <c r="D9" s="15" t="inlineStr">
        <is>
          <t>No</t>
        </is>
      </c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>
        <is>
          <t>Yes</t>
        </is>
      </c>
      <c r="X9" s="15" t="n">
        <v>1</v>
      </c>
    </row>
    <row r="10">
      <c r="A10" s="15" t="inlineStr">
        <is>
          <t>T5</t>
        </is>
      </c>
      <c r="B10" s="15" t="inlineStr">
        <is>
          <t>A</t>
        </is>
      </c>
      <c r="C10" s="15" t="inlineStr">
        <is>
          <t>3466</t>
        </is>
      </c>
      <c r="D10" s="15" t="inlineStr">
        <is>
          <t>Yes</t>
        </is>
      </c>
      <c r="E10" s="15" t="inlineStr">
        <is>
          <t>Yes</t>
        </is>
      </c>
      <c r="F10" s="15" t="inlineStr">
        <is>
          <t>No</t>
        </is>
      </c>
      <c r="G10" s="15" t="n">
        <v>62</v>
      </c>
      <c r="H10" s="15" t="n">
        <v>60</v>
      </c>
      <c r="I10" s="15" t="inlineStr">
        <is>
          <t>No</t>
        </is>
      </c>
      <c r="J10" s="15" t="n">
        <v>0</v>
      </c>
      <c r="K10" s="15" t="inlineStr">
        <is>
          <t>OK</t>
        </is>
      </c>
      <c r="L10" s="15" t="inlineStr">
        <is>
          <t>Yes</t>
        </is>
      </c>
      <c r="M10" s="15" t="inlineStr">
        <is>
          <t>No</t>
        </is>
      </c>
      <c r="N10" s="15" t="inlineStr">
        <is>
          <t>No</t>
        </is>
      </c>
      <c r="O10" s="15" t="inlineStr">
        <is>
          <t>No</t>
        </is>
      </c>
      <c r="P10" s="15" t="inlineStr">
        <is>
          <t>No</t>
        </is>
      </c>
      <c r="Q10" s="15" t="inlineStr">
        <is>
          <t>No</t>
        </is>
      </c>
      <c r="R10" s="15" t="inlineStr">
        <is>
          <t>No</t>
        </is>
      </c>
      <c r="S10" s="15" t="inlineStr">
        <is>
          <t>No</t>
        </is>
      </c>
      <c r="T10" s="15" t="inlineStr">
        <is>
          <t>No</t>
        </is>
      </c>
      <c r="U10" s="15" t="inlineStr">
        <is>
          <t>No</t>
        </is>
      </c>
      <c r="V10" s="15" t="inlineStr">
        <is>
          <t>No</t>
        </is>
      </c>
      <c r="W10" s="15" t="inlineStr">
        <is>
          <t>Yes</t>
        </is>
      </c>
      <c r="X10" s="15" t="n">
        <v>1</v>
      </c>
    </row>
    <row r="11">
      <c r="A11" s="15" t="inlineStr">
        <is>
          <t>T5</t>
        </is>
      </c>
      <c r="B11" s="15" t="inlineStr">
        <is>
          <t>B</t>
        </is>
      </c>
      <c r="C11" s="15" t="inlineStr">
        <is>
          <t>3467</t>
        </is>
      </c>
      <c r="D11" s="15" t="inlineStr">
        <is>
          <t>Yes</t>
        </is>
      </c>
      <c r="E11" s="15" t="inlineStr">
        <is>
          <t>Yes</t>
        </is>
      </c>
      <c r="F11" s="15" t="inlineStr">
        <is>
          <t>No</t>
        </is>
      </c>
      <c r="G11" s="15" t="n">
        <v>58</v>
      </c>
      <c r="H11" s="15" t="n">
        <v>55</v>
      </c>
      <c r="I11" s="15" t="inlineStr">
        <is>
          <t>No</t>
        </is>
      </c>
      <c r="J11" s="15" t="n">
        <v>0</v>
      </c>
      <c r="K11" s="15" t="inlineStr">
        <is>
          <t>OK</t>
        </is>
      </c>
      <c r="L11" s="15" t="inlineStr">
        <is>
          <t>Yes</t>
        </is>
      </c>
      <c r="M11" s="15" t="inlineStr">
        <is>
          <t>No</t>
        </is>
      </c>
      <c r="N11" s="15" t="inlineStr">
        <is>
          <t>No</t>
        </is>
      </c>
      <c r="O11" s="15" t="inlineStr">
        <is>
          <t>No</t>
        </is>
      </c>
      <c r="P11" s="15" t="inlineStr">
        <is>
          <t>No</t>
        </is>
      </c>
      <c r="Q11" s="15" t="inlineStr">
        <is>
          <t>No</t>
        </is>
      </c>
      <c r="R11" s="15" t="inlineStr">
        <is>
          <t>No</t>
        </is>
      </c>
      <c r="S11" s="15" t="inlineStr">
        <is>
          <t>No</t>
        </is>
      </c>
      <c r="T11" s="15" t="inlineStr">
        <is>
          <t>No</t>
        </is>
      </c>
      <c r="U11" s="15" t="inlineStr">
        <is>
          <t>No</t>
        </is>
      </c>
      <c r="V11" s="15" t="inlineStr">
        <is>
          <t>No</t>
        </is>
      </c>
      <c r="W11" s="15" t="inlineStr">
        <is>
          <t>Yes</t>
        </is>
      </c>
      <c r="X11" s="15" t="n">
        <v>1</v>
      </c>
    </row>
    <row r="12">
      <c r="A12" s="15" t="inlineStr">
        <is>
          <t>T6</t>
        </is>
      </c>
      <c r="B12" s="15" t="inlineStr">
        <is>
          <t>A</t>
        </is>
      </c>
      <c r="C12" s="15" t="inlineStr">
        <is>
          <t>3803</t>
        </is>
      </c>
      <c r="D12" s="15" t="inlineStr">
        <is>
          <t>Yes</t>
        </is>
      </c>
      <c r="E12" s="15" t="inlineStr">
        <is>
          <t>Yes</t>
        </is>
      </c>
      <c r="F12" s="15" t="inlineStr">
        <is>
          <t>No</t>
        </is>
      </c>
      <c r="G12" s="15" t="n">
        <v>55</v>
      </c>
      <c r="H12" s="15" t="n">
        <v>50</v>
      </c>
      <c r="I12" s="15" t="inlineStr">
        <is>
          <t>No</t>
        </is>
      </c>
      <c r="J12" s="15" t="n">
        <v>0</v>
      </c>
      <c r="K12" s="15" t="inlineStr">
        <is>
          <t>OK</t>
        </is>
      </c>
      <c r="L12" s="15" t="inlineStr">
        <is>
          <t>No</t>
        </is>
      </c>
      <c r="M12" s="15" t="inlineStr">
        <is>
          <t>No</t>
        </is>
      </c>
      <c r="N12" s="15" t="inlineStr">
        <is>
          <t>No</t>
        </is>
      </c>
      <c r="O12" s="15" t="inlineStr">
        <is>
          <t>No</t>
        </is>
      </c>
      <c r="P12" s="15" t="inlineStr">
        <is>
          <t>No</t>
        </is>
      </c>
      <c r="Q12" s="15" t="inlineStr">
        <is>
          <t>No</t>
        </is>
      </c>
      <c r="R12" s="15" t="inlineStr">
        <is>
          <t>No</t>
        </is>
      </c>
      <c r="S12" s="15" t="inlineStr">
        <is>
          <t>No</t>
        </is>
      </c>
      <c r="T12" s="15" t="inlineStr">
        <is>
          <t>No</t>
        </is>
      </c>
      <c r="U12" s="15" t="inlineStr">
        <is>
          <t>No</t>
        </is>
      </c>
      <c r="V12" s="15" t="inlineStr">
        <is>
          <t>No</t>
        </is>
      </c>
      <c r="W12" s="15" t="inlineStr">
        <is>
          <t>No</t>
        </is>
      </c>
      <c r="X12" s="15" t="n">
        <v>0</v>
      </c>
    </row>
    <row r="13">
      <c r="A13" s="15" t="inlineStr">
        <is>
          <t>T6</t>
        </is>
      </c>
      <c r="B13" s="15" t="inlineStr">
        <is>
          <t>B</t>
        </is>
      </c>
      <c r="C13" s="15" t="inlineStr">
        <is>
          <t>3808</t>
        </is>
      </c>
      <c r="D13" s="15" t="inlineStr">
        <is>
          <t>Yes</t>
        </is>
      </c>
      <c r="E13" s="15" t="inlineStr">
        <is>
          <t>Yes</t>
        </is>
      </c>
      <c r="F13" s="15" t="inlineStr">
        <is>
          <t>No</t>
        </is>
      </c>
      <c r="G13" s="15" t="n">
        <v>54</v>
      </c>
      <c r="H13" s="15" t="n">
        <v>50</v>
      </c>
      <c r="I13" s="15" t="inlineStr">
        <is>
          <t>No</t>
        </is>
      </c>
      <c r="J13" s="15" t="n">
        <v>0</v>
      </c>
      <c r="K13" s="15" t="inlineStr">
        <is>
          <t>OK</t>
        </is>
      </c>
      <c r="L13" s="15" t="inlineStr">
        <is>
          <t>No</t>
        </is>
      </c>
      <c r="M13" s="15" t="inlineStr">
        <is>
          <t>No</t>
        </is>
      </c>
      <c r="N13" s="15" t="inlineStr">
        <is>
          <t>No</t>
        </is>
      </c>
      <c r="O13" s="15" t="inlineStr">
        <is>
          <t>No</t>
        </is>
      </c>
      <c r="P13" s="15" t="inlineStr">
        <is>
          <t>No</t>
        </is>
      </c>
      <c r="Q13" s="15" t="inlineStr">
        <is>
          <t>No</t>
        </is>
      </c>
      <c r="R13" s="15" t="inlineStr">
        <is>
          <t>No</t>
        </is>
      </c>
      <c r="S13" s="15" t="inlineStr">
        <is>
          <t>No</t>
        </is>
      </c>
      <c r="T13" s="15" t="inlineStr">
        <is>
          <t>No</t>
        </is>
      </c>
      <c r="U13" s="15" t="inlineStr">
        <is>
          <t>No</t>
        </is>
      </c>
      <c r="V13" s="15" t="inlineStr">
        <is>
          <t>No</t>
        </is>
      </c>
      <c r="W13" s="15" t="inlineStr">
        <is>
          <t>No</t>
        </is>
      </c>
      <c r="X13" s="15" t="n">
        <v>0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2026-10-19T15:36:48Z</dcterms:created>
  <dcterms:modified xmlns:dcterms="http://purl.org/dc/terms/" xmlns:xsi="http://www.w3.org/2001/XMLSchema-instance" xsi:type="dcterms:W3CDTF">2026-10-19T15:36:48Z</dcterms:modified>
</cp:coreProperties>
</file>